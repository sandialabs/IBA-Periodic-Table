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30" windowWidth="26835" windowHeight="17685"/>
  </bookViews>
  <sheets>
    <sheet name="Sheet1" sheetId="1" r:id="rId1"/>
    <sheet name="Sheet2" sheetId="2" r:id="rId2"/>
    <sheet name="Sheet3" sheetId="3" r:id="rId3"/>
  </sheets>
  <definedNames>
    <definedName name="results" localSheetId="0">Sheet1!$A$42</definedName>
  </definedNames>
  <calcPr calcId="145621"/>
</workbook>
</file>

<file path=xl/calcChain.xml><?xml version="1.0" encoding="utf-8"?>
<calcChain xmlns="http://schemas.openxmlformats.org/spreadsheetml/2006/main">
  <c r="B87" i="1" l="1"/>
  <c r="D59" i="1"/>
  <c r="B65" i="1" s="1"/>
  <c r="D63" i="1" l="1"/>
  <c r="D56" i="1"/>
  <c r="D55" i="1"/>
  <c r="D54" i="1"/>
  <c r="B63" i="1" l="1"/>
  <c r="B69" i="1" s="1"/>
  <c r="C69" i="1" s="1"/>
  <c r="B74" i="1" l="1"/>
  <c r="B77" i="1" s="1"/>
  <c r="B64" i="1"/>
  <c r="B70" i="1" s="1"/>
  <c r="C70" i="1" s="1"/>
  <c r="B78" i="1" l="1"/>
  <c r="B82" i="1"/>
  <c r="B71" i="1"/>
  <c r="C71" i="1" s="1"/>
  <c r="B79" i="1" s="1"/>
  <c r="B83" i="1" s="1"/>
  <c r="B88" i="1" s="1"/>
</calcChain>
</file>

<file path=xl/sharedStrings.xml><?xml version="1.0" encoding="utf-8"?>
<sst xmlns="http://schemas.openxmlformats.org/spreadsheetml/2006/main" count="152" uniqueCount="105">
  <si>
    <t xml:space="preserve">Latitude: </t>
  </si>
  <si>
    <t xml:space="preserve">Longitude: </t>
  </si>
  <si>
    <r>
      <t xml:space="preserve">Latitude: </t>
    </r>
    <r>
      <rPr>
        <sz val="9"/>
        <color theme="1"/>
        <rFont val="Verdana"/>
        <family val="2"/>
      </rPr>
      <t>N S</t>
    </r>
  </si>
  <si>
    <r>
      <t xml:space="preserve">Longitude: </t>
    </r>
    <r>
      <rPr>
        <sz val="9"/>
        <color theme="1"/>
        <rFont val="Verdana"/>
        <family val="2"/>
      </rPr>
      <t>E W</t>
    </r>
  </si>
  <si>
    <t>Start Date (1900-2015):</t>
  </si>
  <si>
    <t>  Year:</t>
  </si>
  <si>
    <t>Month (1-12):</t>
  </si>
  <si>
    <t>Day (1-31):</t>
  </si>
  <si>
    <t>End Date (same as starting date for a single day) (1900-2015):</t>
  </si>
  <si>
    <t>For multiple years, enter step size in years:</t>
  </si>
  <si>
    <t>Elevation (0-600 km):</t>
  </si>
  <si>
    <t>  (Results will appear below.)</t>
  </si>
  <si>
    <t>Results for date: 2012.7896728515625</t>
  </si>
  <si>
    <t>Declination = 9.018° changing by -0.121 °/year</t>
  </si>
  <si>
    <t>Inclination = 62.196° changing by -0.023 °/year</t>
  </si>
  <si>
    <t>X component = 22,940.51 changing by -20.51 nT/year</t>
  </si>
  <si>
    <t>Y component = 3,640.8 changing by -52.92 nT/year</t>
  </si>
  <si>
    <t>Z component = 44,047.34 changing by -96.55 nT/year</t>
  </si>
  <si>
    <t>Horizontal Intensity = 23,227.62 changing by -28.5 nT/year</t>
  </si>
  <si>
    <t>Total Intensity = 49,796.49 changing by -98.69 nT/year</t>
  </si>
  <si>
    <t>Reading the results</t>
  </si>
  <si>
    <r>
      <t xml:space="preserve">The magnetic parameters declination, inclination, horizontal component, north component, east component, vertical component, and total field (D, I, H, X, Y, Z, and F) are computed based on the latest International Geomagnetic Reference Field (IGRF) model of the Earth's main magnetic field. Accuracies for the angular components (Declination, D and Inclination, I) are reported in degrees and minutes of arc and are generally within 30 minutes. Accuracies for the force components (Horizontal - H, North - X, East - Y, Vertical - Z, and Total force - F) are generally within 100 to 250 nanotesla. </t>
    </r>
    <r>
      <rPr>
        <b/>
        <sz val="9"/>
        <color theme="1"/>
        <rFont val="Verdana"/>
        <family val="2"/>
      </rPr>
      <t xml:space="preserve">Local disturbances and attempting to use a model beyond its valid date range could cause greater errors. Before using the IGRF please look at the 'Health Warning'. </t>
    </r>
    <r>
      <rPr>
        <sz val="9"/>
        <color theme="1"/>
        <rFont val="Verdana"/>
        <family val="2"/>
      </rPr>
      <t xml:space="preserve">The sign convention used throughout is Declination (D) positive east, Inclination (I) and Vertical intensity (Z) positive down, North component (X) positive north, and East component (Y) positive east. The Horizontal (H) and Total (F) intensities are always positive. </t>
    </r>
    <r>
      <rPr>
        <b/>
        <sz val="9"/>
        <color theme="1"/>
        <rFont val="Verdana"/>
        <family val="2"/>
      </rPr>
      <t>For more information on Earth's magnetic field parameters, see our Frequently Asked Questions.</t>
    </r>
  </si>
  <si>
    <t>North</t>
  </si>
  <si>
    <t>Vertical</t>
  </si>
  <si>
    <t>East</t>
  </si>
  <si>
    <t>Bx=</t>
  </si>
  <si>
    <t>By=</t>
  </si>
  <si>
    <t>Bz=</t>
  </si>
  <si>
    <t>T</t>
  </si>
  <si>
    <t>Earth Magnetic Field at IBL</t>
  </si>
  <si>
    <t>Ion</t>
  </si>
  <si>
    <t>m=</t>
  </si>
  <si>
    <t>amu</t>
  </si>
  <si>
    <t>E=</t>
  </si>
  <si>
    <t>MeV</t>
  </si>
  <si>
    <t>q=</t>
  </si>
  <si>
    <t>e</t>
  </si>
  <si>
    <t>kg</t>
  </si>
  <si>
    <t>J</t>
  </si>
  <si>
    <t>C</t>
  </si>
  <si>
    <t>beamline</t>
  </si>
  <si>
    <t>angle (toward north)=</t>
  </si>
  <si>
    <t>deg</t>
  </si>
  <si>
    <t>d (length)=</t>
  </si>
  <si>
    <t>m</t>
  </si>
  <si>
    <t>rad</t>
  </si>
  <si>
    <t>ion velocity</t>
  </si>
  <si>
    <t>Vx</t>
  </si>
  <si>
    <t>Vy</t>
  </si>
  <si>
    <t>Vz</t>
  </si>
  <si>
    <t>m/s</t>
  </si>
  <si>
    <t>check</t>
  </si>
  <si>
    <t>V=</t>
  </si>
  <si>
    <t>Forces</t>
  </si>
  <si>
    <t>Fx=</t>
  </si>
  <si>
    <t>Fy=</t>
  </si>
  <si>
    <t>Fz=</t>
  </si>
  <si>
    <t>N</t>
  </si>
  <si>
    <t>flight time</t>
  </si>
  <si>
    <t>t=</t>
  </si>
  <si>
    <t>s</t>
  </si>
  <si>
    <t>deflection in system coordinate system</t>
  </si>
  <si>
    <t>X'</t>
  </si>
  <si>
    <t>Y'</t>
  </si>
  <si>
    <t>Z'</t>
  </si>
  <si>
    <t>deflection in target coordinate system (assuming target normal to beam)</t>
  </si>
  <si>
    <t>X"</t>
  </si>
  <si>
    <t>Z"</t>
  </si>
  <si>
    <t>rewritten in a more convenient coordinate system</t>
  </si>
  <si>
    <t>left</t>
  </si>
  <si>
    <t>down</t>
  </si>
  <si>
    <t>mm</t>
  </si>
  <si>
    <t>up</t>
  </si>
  <si>
    <t>Z'''</t>
  </si>
  <si>
    <t>X'''</t>
  </si>
  <si>
    <t>E</t>
  </si>
  <si>
    <t>q</t>
  </si>
  <si>
    <t>angle</t>
  </si>
  <si>
    <t>d(feet)</t>
  </si>
  <si>
    <t>X'''(mm)</t>
  </si>
  <si>
    <t>Y'''(mm)</t>
  </si>
  <si>
    <t>ion</t>
  </si>
  <si>
    <t>H</t>
  </si>
  <si>
    <t>Si</t>
  </si>
  <si>
    <t>Cu</t>
  </si>
  <si>
    <t>QASPR3</t>
  </si>
  <si>
    <t>He</t>
  </si>
  <si>
    <t>IBA</t>
  </si>
  <si>
    <t>QASPR2</t>
  </si>
  <si>
    <t>I3TEM</t>
  </si>
  <si>
    <t>Au</t>
  </si>
  <si>
    <t>TANDEM     uONE</t>
  </si>
  <si>
    <t>PELLETRON     uBEAM</t>
  </si>
  <si>
    <t>4He</t>
  </si>
  <si>
    <t>3He</t>
  </si>
  <si>
    <t>HVEE     nanoBEAM</t>
  </si>
  <si>
    <t>Sb</t>
  </si>
  <si>
    <t>P</t>
  </si>
  <si>
    <t>Beamline</t>
  </si>
  <si>
    <t>Latitude:35.103821°</t>
  </si>
  <si>
    <t>Longitude:-106.671219°</t>
  </si>
  <si>
    <t>http://www.ngdc.noaa.gov/geomag-web/#igrfwmm</t>
  </si>
  <si>
    <t>where x is to right, and z is up</t>
  </si>
  <si>
    <t>right</t>
  </si>
  <si>
    <t>Program to calculate earth's magnetic field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</si>
</sst>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11" x14ac:knownFonts="1">
    <font>
      <sz val="11"/>
      <color theme="1"/>
      <name val="Calibri"/>
      <family val="2"/>
      <scheme val="minor"/>
    </font>
    <font>
      <b/>
      <sz val="11"/>
      <color theme="1"/>
      <name val="Calibri"/>
      <family val="2"/>
      <scheme val="minor"/>
    </font>
    <font>
      <sz val="11"/>
      <color rgb="FF303030"/>
      <name val="Verdana"/>
      <family val="2"/>
    </font>
    <font>
      <b/>
      <sz val="11"/>
      <color rgb="FF303030"/>
      <name val="Verdana"/>
      <family val="2"/>
    </font>
    <font>
      <sz val="11"/>
      <color theme="1"/>
      <name val="Verdana"/>
      <family val="2"/>
    </font>
    <font>
      <sz val="9"/>
      <color theme="1"/>
      <name val="Verdana"/>
      <family val="2"/>
    </font>
    <font>
      <b/>
      <sz val="9"/>
      <color theme="1"/>
      <name val="Verdana"/>
      <family val="2"/>
    </font>
    <font>
      <u/>
      <sz val="11"/>
      <color theme="10"/>
      <name val="Calibri"/>
      <family val="2"/>
      <scheme val="minor"/>
    </font>
    <font>
      <b/>
      <sz val="10"/>
      <color rgb="FF000080"/>
      <name val="Verdana"/>
      <family val="2"/>
    </font>
    <font>
      <sz val="11"/>
      <color rgb="FF000000"/>
      <name val="Calibri"/>
      <family val="2"/>
    </font>
    <font>
      <sz val="9"/>
      <color theme="1"/>
      <name val="Arial"/>
      <family val="2"/>
    </font>
  </fonts>
  <fills count="4">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s>
  <borders count="10">
    <border>
      <left/>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medium">
        <color rgb="FF663300"/>
      </left>
      <right style="medium">
        <color rgb="FF663300"/>
      </right>
      <top style="medium">
        <color rgb="FF663300"/>
      </top>
      <bottom style="medium">
        <color rgb="FF663300"/>
      </bottom>
      <diagonal/>
    </border>
  </borders>
  <cellStyleXfs count="2">
    <xf numFmtId="0" fontId="0" fillId="0" borderId="0"/>
    <xf numFmtId="0" fontId="7" fillId="0" borderId="0" applyNumberFormat="0" applyFill="0" applyBorder="0" applyAlignment="0" applyProtection="0"/>
  </cellStyleXfs>
  <cellXfs count="48">
    <xf numFmtId="0" fontId="0" fillId="0" borderId="0" xfId="0"/>
    <xf numFmtId="0" fontId="3" fillId="0" borderId="0" xfId="0" applyFont="1" applyAlignment="1">
      <alignment horizontal="left" vertical="center" wrapText="1"/>
    </xf>
    <xf numFmtId="0" fontId="2" fillId="0" borderId="0" xfId="0" applyFont="1" applyAlignment="1">
      <alignment vertical="center" wrapText="1"/>
    </xf>
    <xf numFmtId="0" fontId="6" fillId="0" borderId="5" xfId="0" applyFont="1" applyBorder="1" applyAlignment="1">
      <alignment vertical="center"/>
    </xf>
    <xf numFmtId="0" fontId="6" fillId="0" borderId="6" xfId="0" applyFont="1" applyBorder="1" applyAlignment="1">
      <alignment vertical="center"/>
    </xf>
    <xf numFmtId="0" fontId="5" fillId="0" borderId="0" xfId="0" applyFont="1" applyAlignment="1">
      <alignment vertical="center" wrapText="1"/>
    </xf>
    <xf numFmtId="0" fontId="4" fillId="0" borderId="0" xfId="0" applyFont="1"/>
    <xf numFmtId="0" fontId="6" fillId="0" borderId="0" xfId="0" applyFont="1" applyAlignment="1">
      <alignment horizontal="left" vertical="center" indent="2"/>
    </xf>
    <xf numFmtId="0" fontId="5" fillId="0" borderId="0" xfId="0" applyFont="1" applyAlignment="1">
      <alignment horizontal="left" vertical="center" indent="2"/>
    </xf>
    <xf numFmtId="0" fontId="8" fillId="0" borderId="0" xfId="0" applyFont="1" applyAlignment="1">
      <alignment vertical="center"/>
    </xf>
    <xf numFmtId="0" fontId="6" fillId="0" borderId="0" xfId="0" applyFont="1" applyBorder="1" applyAlignment="1">
      <alignment vertical="center" wrapText="1"/>
    </xf>
    <xf numFmtId="0" fontId="0" fillId="0" borderId="7" xfId="0" applyBorder="1" applyAlignment="1">
      <alignment horizontal="right"/>
    </xf>
    <xf numFmtId="0" fontId="0" fillId="0" borderId="0" xfId="0" applyAlignment="1">
      <alignment horizontal="right"/>
    </xf>
    <xf numFmtId="11" fontId="0" fillId="0" borderId="0" xfId="0" applyNumberFormat="1"/>
    <xf numFmtId="164" fontId="0" fillId="0" borderId="0" xfId="0" applyNumberFormat="1"/>
    <xf numFmtId="1" fontId="0" fillId="0" borderId="0" xfId="0" applyNumberFormat="1"/>
    <xf numFmtId="1" fontId="0" fillId="0" borderId="0" xfId="0" applyNumberFormat="1" applyAlignment="1">
      <alignment horizontal="center"/>
    </xf>
    <xf numFmtId="0" fontId="0" fillId="0" borderId="0" xfId="0" applyAlignment="1">
      <alignment horizontal="center"/>
    </xf>
    <xf numFmtId="2" fontId="0" fillId="0" borderId="0" xfId="0" applyNumberFormat="1" applyAlignment="1">
      <alignment horizontal="center"/>
    </xf>
    <xf numFmtId="0" fontId="1" fillId="0" borderId="0" xfId="0" applyFont="1" applyAlignment="1">
      <alignment horizontal="right"/>
    </xf>
    <xf numFmtId="0" fontId="1" fillId="0" borderId="0" xfId="0" applyFont="1" applyAlignment="1">
      <alignment horizontal="center"/>
    </xf>
    <xf numFmtId="11" fontId="1" fillId="0" borderId="0" xfId="0" applyNumberFormat="1" applyFont="1" applyAlignment="1">
      <alignment horizontal="center"/>
    </xf>
    <xf numFmtId="0" fontId="0" fillId="0" borderId="8" xfId="0" applyBorder="1" applyAlignment="1">
      <alignment horizontal="center"/>
    </xf>
    <xf numFmtId="1" fontId="0" fillId="0" borderId="8" xfId="0" applyNumberFormat="1" applyBorder="1" applyAlignment="1">
      <alignment horizontal="center"/>
    </xf>
    <xf numFmtId="2" fontId="0" fillId="0" borderId="8" xfId="0" applyNumberFormat="1" applyBorder="1" applyAlignment="1">
      <alignment horizontal="center"/>
    </xf>
    <xf numFmtId="164" fontId="0" fillId="0" borderId="8" xfId="0" applyNumberFormat="1" applyBorder="1" applyAlignment="1">
      <alignment horizontal="center"/>
    </xf>
    <xf numFmtId="164" fontId="0" fillId="2" borderId="8" xfId="0" applyNumberFormat="1" applyFill="1" applyBorder="1"/>
    <xf numFmtId="165" fontId="0" fillId="3" borderId="8" xfId="0" applyNumberFormat="1" applyFill="1" applyBorder="1"/>
    <xf numFmtId="165" fontId="0" fillId="2" borderId="8" xfId="0" applyNumberFormat="1" applyFill="1" applyBorder="1"/>
    <xf numFmtId="0" fontId="10" fillId="0" borderId="9" xfId="0" applyFont="1" applyBorder="1" applyAlignment="1">
      <alignment horizontal="left" vertical="center" indent="1"/>
    </xf>
    <xf numFmtId="11" fontId="0" fillId="2" borderId="8" xfId="0" applyNumberFormat="1" applyFill="1" applyBorder="1"/>
    <xf numFmtId="0" fontId="7" fillId="0" borderId="0" xfId="1"/>
    <xf numFmtId="11" fontId="0" fillId="0" borderId="0" xfId="0" applyNumberFormat="1" applyAlignment="1">
      <alignment horizontal="center"/>
    </xf>
    <xf numFmtId="0" fontId="5" fillId="0" borderId="3" xfId="0" applyFont="1" applyBorder="1" applyAlignment="1">
      <alignment vertical="center" wrapText="1"/>
    </xf>
    <xf numFmtId="0" fontId="5" fillId="0" borderId="4" xfId="0" applyFont="1" applyBorder="1" applyAlignment="1">
      <alignment vertical="center" wrapText="1"/>
    </xf>
    <xf numFmtId="0" fontId="7" fillId="0" borderId="1" xfId="1" applyBorder="1" applyAlignment="1">
      <alignment vertical="center" wrapText="1"/>
    </xf>
    <xf numFmtId="0" fontId="7" fillId="0" borderId="2" xfId="1"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0" borderId="1" xfId="0" applyBorder="1" applyAlignment="1">
      <alignment vertical="center" wrapText="1"/>
    </xf>
    <xf numFmtId="0" fontId="0" fillId="0" borderId="2" xfId="0" applyBorder="1" applyAlignment="1">
      <alignment vertical="center" wrapText="1"/>
    </xf>
    <xf numFmtId="0" fontId="6" fillId="0" borderId="3" xfId="0" applyFont="1" applyBorder="1" applyAlignment="1">
      <alignment vertical="center" wrapText="1"/>
    </xf>
    <xf numFmtId="0" fontId="6" fillId="0" borderId="4" xfId="0" applyFont="1" applyBorder="1" applyAlignment="1">
      <alignment vertical="center" wrapText="1"/>
    </xf>
    <xf numFmtId="0" fontId="6" fillId="0" borderId="5" xfId="0" applyFont="1" applyBorder="1" applyAlignment="1">
      <alignment vertical="center" wrapText="1"/>
    </xf>
    <xf numFmtId="0" fontId="6" fillId="0" borderId="6" xfId="0" applyFont="1" applyBorder="1" applyAlignment="1">
      <alignment vertical="center" wrapText="1"/>
    </xf>
    <xf numFmtId="0" fontId="6" fillId="0" borderId="1" xfId="0" applyFont="1" applyBorder="1" applyAlignment="1">
      <alignment vertical="center" wrapText="1"/>
    </xf>
    <xf numFmtId="0" fontId="6" fillId="0" borderId="2" xfId="0" applyFont="1" applyBorder="1" applyAlignment="1">
      <alignment vertical="center" wrapText="1"/>
    </xf>
    <xf numFmtId="0" fontId="1"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5512D110-5CC6-11CF-8D67-00AA00BDCE1D}" ax:persistence="persistStream" r:id="rId1"/>
</file>

<file path=xl/activeX/activeX2.xml><?xml version="1.0" encoding="utf-8"?>
<ax:ocx xmlns:ax="http://schemas.microsoft.com/office/2006/activeX" xmlns:r="http://schemas.openxmlformats.org/officeDocument/2006/relationships" ax:classid="{5512D11A-5CC6-11CF-8D67-00AA00BDCE1D}" ax:persistence="persistStream" r:id="rId1"/>
</file>

<file path=xl/activeX/activeX3.xml><?xml version="1.0" encoding="utf-8"?>
<ax:ocx xmlns:ax="http://schemas.microsoft.com/office/2006/activeX" xmlns:r="http://schemas.openxmlformats.org/officeDocument/2006/relationships" ax:classid="{5512D11A-5CC6-11CF-8D67-00AA00BDCE1D}" ax:persistence="persistStream" r:id="rId1"/>
</file>

<file path=xl/activeX/activeX4.xml><?xml version="1.0" encoding="utf-8"?>
<ax:ocx xmlns:ax="http://schemas.microsoft.com/office/2006/activeX" xmlns:r="http://schemas.openxmlformats.org/officeDocument/2006/relationships" ax:classid="{5512D11A-5CC6-11CF-8D67-00AA00BDCE1D}" ax:persistence="persistStream" r:id="rId1"/>
</file>

<file path=xl/activeX/activeX5.xml><?xml version="1.0" encoding="utf-8"?>
<ax:ocx xmlns:ax="http://schemas.microsoft.com/office/2006/activeX" xmlns:r="http://schemas.openxmlformats.org/officeDocument/2006/relationships" ax:classid="{5512D11A-5CC6-11CF-8D67-00AA00BDCE1D}" ax:persistence="persistStream" r:id="rId1"/>
</file>

<file path=xl/activeX/activeX6.xml><?xml version="1.0" encoding="utf-8"?>
<ax:ocx xmlns:ax="http://schemas.microsoft.com/office/2006/activeX" xmlns:r="http://schemas.openxmlformats.org/officeDocument/2006/relationships" ax:classid="{5512D11A-5CC6-11CF-8D67-00AA00BDCE1D}" ax:persistence="persistStream" r:id="rId1"/>
</file>

<file path=xl/activeX/activeX7.xml><?xml version="1.0" encoding="utf-8"?>
<ax:ocx xmlns:ax="http://schemas.microsoft.com/office/2006/activeX" xmlns:r="http://schemas.openxmlformats.org/officeDocument/2006/relationships" ax:classid="{5512D11A-5CC6-11CF-8D67-00AA00BDCE1D}" ax:persistence="persistStream" r:id="rId1"/>
</file>

<file path=xl/activeX/activeX8.xml><?xml version="1.0" encoding="utf-8"?>
<ax:ocx xmlns:ax="http://schemas.microsoft.com/office/2006/activeX" xmlns:r="http://schemas.openxmlformats.org/officeDocument/2006/relationships" ax:classid="{5512D11A-5CC6-11CF-8D67-00AA00BDCE1D}" ax:persistence="persistStream" r:id="rId1"/>
</file>

<file path=xl/activeX/activeX9.xml><?xml version="1.0" encoding="utf-8"?>
<ax:ocx xmlns:ax="http://schemas.microsoft.com/office/2006/activeX" xmlns:r="http://schemas.openxmlformats.org/officeDocument/2006/relationships" ax:classid="{5512D11A-5CC6-11CF-8D67-00AA00BDCE1D}" ax:persistence="persistStream" r:id="rId1"/>
</file>

<file path=xl/activeX/activeX10.xml><?xml version="1.0" encoding="utf-8"?>
<ax:ocx xmlns:ax="http://schemas.microsoft.com/office/2006/activeX" xmlns:r="http://schemas.openxmlformats.org/officeDocument/2006/relationships" ax:classid="{5512D118-5CC6-11CF-8D67-00AA00BDCE1D}" ax:persistence="persistStream" r:id="rId1"/>
</file>

<file path=xl/activeX/activeX11.xml><?xml version="1.0" encoding="utf-8"?>
<ax:ocx xmlns:ax="http://schemas.microsoft.com/office/2006/activeX" xmlns:r="http://schemas.openxmlformats.org/officeDocument/2006/relationships" ax:classid="{5512D118-5CC6-11CF-8D67-00AA00BDCE1D}" ax:persistence="persistStream" r:id="rId1"/>
</file>

<file path=xl/activeX/activeX12.xml><?xml version="1.0" encoding="utf-8"?>
<ax:ocx xmlns:ax="http://schemas.microsoft.com/office/2006/activeX" xmlns:r="http://schemas.openxmlformats.org/officeDocument/2006/relationships" ax:classid="{5512D11A-5CC6-11CF-8D67-00AA00BDCE1D}" ax:persistence="persistStream" r:id="rId1"/>
</file>

<file path=xl/activeX/activeX13.xml><?xml version="1.0" encoding="utf-8"?>
<ax:ocx xmlns:ax="http://schemas.microsoft.com/office/2006/activeX" xmlns:r="http://schemas.openxmlformats.org/officeDocument/2006/relationships" ax:classid="{5512D118-5CC6-11CF-8D67-00AA00BDCE1D}" ax:persistence="persistStream" r:id="rId1"/>
</file>

<file path=xl/activeX/activeX14.xml><?xml version="1.0" encoding="utf-8"?>
<ax:ocx xmlns:ax="http://schemas.microsoft.com/office/2006/activeX" xmlns:r="http://schemas.openxmlformats.org/officeDocument/2006/relationships" ax:classid="{5512D118-5CC6-11CF-8D67-00AA00BDCE1D}" ax:persistence="persistStream" r:id="rId1"/>
</file>

<file path=xl/activeX/activeX15.xml><?xml version="1.0" encoding="utf-8"?>
<ax:ocx xmlns:ax="http://schemas.microsoft.com/office/2006/activeX" xmlns:r="http://schemas.openxmlformats.org/officeDocument/2006/relationships" ax:classid="{5512D11A-5CC6-11CF-8D67-00AA00BDCE1D}" ax:persistence="persistStream" r:id="rId1"/>
</file>

<file path=xl/activeX/activeX16.xml><?xml version="1.0" encoding="utf-8"?>
<ax:ocx xmlns:ax="http://schemas.microsoft.com/office/2006/activeX" xmlns:r="http://schemas.openxmlformats.org/officeDocument/2006/relationships" ax:classid="{5512D11A-5CC6-11CF-8D67-00AA00BDCE1D}" ax:persistence="persistStream" r:id="rId1"/>
</file>

<file path=xl/activeX/activeX17.xml><?xml version="1.0" encoding="utf-8"?>
<ax:ocx xmlns:ax="http://schemas.microsoft.com/office/2006/activeX" xmlns:r="http://schemas.openxmlformats.org/officeDocument/2006/relationships" ax:classid="{5512D11A-5CC6-11CF-8D67-00AA00BDCE1D}" ax:persistence="persistStream"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5.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6.emf"/><Relationship Id="rId17"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7.emf"/><Relationship Id="rId5" Type="http://schemas.openxmlformats.org/officeDocument/2006/relationships/image" Target="../media/image13.emf"/><Relationship Id="rId15" Type="http://schemas.openxmlformats.org/officeDocument/2006/relationships/image" Target="../media/image3.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9.emf"/><Relationship Id="rId1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13</xdr:col>
      <xdr:colOff>476250</xdr:colOff>
      <xdr:row>43</xdr:row>
      <xdr:rowOff>1152525</xdr:rowOff>
    </xdr:from>
    <xdr:to>
      <xdr:col>14</xdr:col>
      <xdr:colOff>200025</xdr:colOff>
      <xdr:row>43</xdr:row>
      <xdr:rowOff>1790700</xdr:rowOff>
    </xdr:to>
    <xdr:sp macro="" textlink="">
      <xdr:nvSpPr>
        <xdr:cNvPr id="15" name="Freeform 14"/>
        <xdr:cNvSpPr/>
      </xdr:nvSpPr>
      <xdr:spPr>
        <a:xfrm>
          <a:off x="12592050" y="9982200"/>
          <a:ext cx="333375" cy="638175"/>
        </a:xfrm>
        <a:custGeom>
          <a:avLst/>
          <a:gdLst>
            <a:gd name="connsiteX0" fmla="*/ 0 w 333375"/>
            <a:gd name="connsiteY0" fmla="*/ 0 h 638175"/>
            <a:gd name="connsiteX1" fmla="*/ 333375 w 333375"/>
            <a:gd name="connsiteY1" fmla="*/ 171450 h 638175"/>
            <a:gd name="connsiteX2" fmla="*/ 314325 w 333375"/>
            <a:gd name="connsiteY2" fmla="*/ 638175 h 638175"/>
            <a:gd name="connsiteX3" fmla="*/ 0 w 333375"/>
            <a:gd name="connsiteY3" fmla="*/ 466725 h 638175"/>
            <a:gd name="connsiteX4" fmla="*/ 0 w 333375"/>
            <a:gd name="connsiteY4" fmla="*/ 0 h 6381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3375" h="638175">
              <a:moveTo>
                <a:pt x="0" y="0"/>
              </a:moveTo>
              <a:lnTo>
                <a:pt x="333375" y="171450"/>
              </a:lnTo>
              <a:lnTo>
                <a:pt x="314325" y="638175"/>
              </a:lnTo>
              <a:lnTo>
                <a:pt x="0" y="466725"/>
              </a:lnTo>
              <a:lnTo>
                <a:pt x="0"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304800</xdr:colOff>
          <xdr:row>2</xdr:row>
          <xdr:rowOff>228600</xdr:rowOff>
        </xdr:to>
        <xdr:sp macro="" textlink="">
          <xdr:nvSpPr>
            <xdr:cNvPr id="1025" name="Control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304800</xdr:colOff>
          <xdr:row>3</xdr:row>
          <xdr:rowOff>228600</xdr:rowOff>
        </xdr:to>
        <xdr:sp macro="" textlink="">
          <xdr:nvSpPr>
            <xdr:cNvPr id="1026" name="Control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0</xdr:rowOff>
        </xdr:from>
        <xdr:to>
          <xdr:col>0</xdr:col>
          <xdr:colOff>819150</xdr:colOff>
          <xdr:row>8</xdr:row>
          <xdr:rowOff>38100</xdr:rowOff>
        </xdr:to>
        <xdr:sp macro="" textlink="">
          <xdr:nvSpPr>
            <xdr:cNvPr id="1027" name="Control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1</xdr:col>
          <xdr:colOff>257175</xdr:colOff>
          <xdr:row>8</xdr:row>
          <xdr:rowOff>38100</xdr:rowOff>
        </xdr:to>
        <xdr:sp macro="" textlink="">
          <xdr:nvSpPr>
            <xdr:cNvPr id="1028" name="Control 4"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1</xdr:col>
          <xdr:colOff>257175</xdr:colOff>
          <xdr:row>8</xdr:row>
          <xdr:rowOff>38100</xdr:rowOff>
        </xdr:to>
        <xdr:sp macro="" textlink="">
          <xdr:nvSpPr>
            <xdr:cNvPr id="1029" name="Control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1</xdr:col>
          <xdr:colOff>819150</xdr:colOff>
          <xdr:row>8</xdr:row>
          <xdr:rowOff>38100</xdr:rowOff>
        </xdr:to>
        <xdr:sp macro="" textlink="">
          <xdr:nvSpPr>
            <xdr:cNvPr id="1030" name="Control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2</xdr:col>
          <xdr:colOff>257175</xdr:colOff>
          <xdr:row>8</xdr:row>
          <xdr:rowOff>76200</xdr:rowOff>
        </xdr:to>
        <xdr:sp macro="" textlink="">
          <xdr:nvSpPr>
            <xdr:cNvPr id="1031" name="Control 7"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2</xdr:col>
          <xdr:colOff>257175</xdr:colOff>
          <xdr:row>8</xdr:row>
          <xdr:rowOff>76200</xdr:rowOff>
        </xdr:to>
        <xdr:sp macro="" textlink="">
          <xdr:nvSpPr>
            <xdr:cNvPr id="1032" name="Control 8"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381000</xdr:colOff>
          <xdr:row>12</xdr:row>
          <xdr:rowOff>38100</xdr:rowOff>
        </xdr:to>
        <xdr:sp macro="" textlink="">
          <xdr:nvSpPr>
            <xdr:cNvPr id="1033" name="Control 9"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0</xdr:col>
          <xdr:colOff>266700</xdr:colOff>
          <xdr:row>13</xdr:row>
          <xdr:rowOff>38100</xdr:rowOff>
        </xdr:to>
        <xdr:sp macro="" textlink="">
          <xdr:nvSpPr>
            <xdr:cNvPr id="1034" name="Control 10"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266700</xdr:colOff>
          <xdr:row>14</xdr:row>
          <xdr:rowOff>38100</xdr:rowOff>
        </xdr:to>
        <xdr:sp macro="" textlink="">
          <xdr:nvSpPr>
            <xdr:cNvPr id="1035" name="Control 11"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381000</xdr:colOff>
          <xdr:row>19</xdr:row>
          <xdr:rowOff>38100</xdr:rowOff>
        </xdr:to>
        <xdr:sp macro="" textlink="">
          <xdr:nvSpPr>
            <xdr:cNvPr id="1036" name="Control 12"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266700</xdr:colOff>
          <xdr:row>20</xdr:row>
          <xdr:rowOff>38100</xdr:rowOff>
        </xdr:to>
        <xdr:sp macro="" textlink="">
          <xdr:nvSpPr>
            <xdr:cNvPr id="1037" name="Control 13"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266700</xdr:colOff>
          <xdr:row>21</xdr:row>
          <xdr:rowOff>38100</xdr:rowOff>
        </xdr:to>
        <xdr:sp macro="" textlink="">
          <xdr:nvSpPr>
            <xdr:cNvPr id="1038" name="Control 14"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419100</xdr:colOff>
          <xdr:row>25</xdr:row>
          <xdr:rowOff>38100</xdr:rowOff>
        </xdr:to>
        <xdr:sp macro="" textlink="">
          <xdr:nvSpPr>
            <xdr:cNvPr id="1039" name="Control 15"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419100</xdr:colOff>
          <xdr:row>27</xdr:row>
          <xdr:rowOff>38100</xdr:rowOff>
        </xdr:to>
        <xdr:sp macro="" textlink="">
          <xdr:nvSpPr>
            <xdr:cNvPr id="1040" name="Control 16"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2362200</xdr:colOff>
          <xdr:row>29</xdr:row>
          <xdr:rowOff>133350</xdr:rowOff>
        </xdr:to>
        <xdr:sp macro="" textlink="">
          <xdr:nvSpPr>
            <xdr:cNvPr id="1041" name="Control 17"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xdr:twoCellAnchor editAs="oneCell">
    <xdr:from>
      <xdr:col>9</xdr:col>
      <xdr:colOff>400051</xdr:colOff>
      <xdr:row>45</xdr:row>
      <xdr:rowOff>9525</xdr:rowOff>
    </xdr:from>
    <xdr:to>
      <xdr:col>22</xdr:col>
      <xdr:colOff>171451</xdr:colOff>
      <xdr:row>73</xdr:row>
      <xdr:rowOff>57150</xdr:rowOff>
    </xdr:to>
    <xdr:pic>
      <xdr:nvPicPr>
        <xdr:cNvPr id="19" name="Picture 18"/>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77451" y="12877800"/>
          <a:ext cx="7696200" cy="5381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314325</xdr:colOff>
          <xdr:row>81</xdr:row>
          <xdr:rowOff>142875</xdr:rowOff>
        </xdr:from>
        <xdr:to>
          <xdr:col>11</xdr:col>
          <xdr:colOff>523875</xdr:colOff>
          <xdr:row>87</xdr:row>
          <xdr:rowOff>180975</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Fill out table below down to where there is no data in column B</a:t>
              </a:r>
            </a:p>
          </xdr:txBody>
        </xdr:sp>
        <xdr:clientData fPrintsWithSheet="0"/>
      </xdr:twoCellAnchor>
    </mc:Choice>
    <mc:Fallback/>
  </mc:AlternateContent>
  <xdr:twoCellAnchor>
    <xdr:from>
      <xdr:col>4</xdr:col>
      <xdr:colOff>361950</xdr:colOff>
      <xdr:row>43</xdr:row>
      <xdr:rowOff>371475</xdr:rowOff>
    </xdr:from>
    <xdr:to>
      <xdr:col>4</xdr:col>
      <xdr:colOff>371475</xdr:colOff>
      <xdr:row>43</xdr:row>
      <xdr:rowOff>2981325</xdr:rowOff>
    </xdr:to>
    <xdr:cxnSp macro="">
      <xdr:nvCxnSpPr>
        <xdr:cNvPr id="3" name="Straight Connector 2"/>
        <xdr:cNvCxnSpPr/>
      </xdr:nvCxnSpPr>
      <xdr:spPr>
        <a:xfrm flipH="1">
          <a:off x="6991350" y="9201150"/>
          <a:ext cx="9525" cy="26098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371475</xdr:colOff>
      <xdr:row>43</xdr:row>
      <xdr:rowOff>1447800</xdr:rowOff>
    </xdr:from>
    <xdr:to>
      <xdr:col>8</xdr:col>
      <xdr:colOff>76201</xdr:colOff>
      <xdr:row>43</xdr:row>
      <xdr:rowOff>2952750</xdr:rowOff>
    </xdr:to>
    <xdr:cxnSp macro="">
      <xdr:nvCxnSpPr>
        <xdr:cNvPr id="23" name="Straight Connector 22"/>
        <xdr:cNvCxnSpPr/>
      </xdr:nvCxnSpPr>
      <xdr:spPr>
        <a:xfrm flipH="1">
          <a:off x="7000875" y="10277475"/>
          <a:ext cx="2143126" cy="15049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361951</xdr:colOff>
      <xdr:row>43</xdr:row>
      <xdr:rowOff>2952750</xdr:rowOff>
    </xdr:from>
    <xdr:to>
      <xdr:col>7</xdr:col>
      <xdr:colOff>400050</xdr:colOff>
      <xdr:row>43</xdr:row>
      <xdr:rowOff>3562350</xdr:rowOff>
    </xdr:to>
    <xdr:cxnSp macro="">
      <xdr:nvCxnSpPr>
        <xdr:cNvPr id="24" name="Straight Connector 23"/>
        <xdr:cNvCxnSpPr/>
      </xdr:nvCxnSpPr>
      <xdr:spPr>
        <a:xfrm>
          <a:off x="6991351" y="11782425"/>
          <a:ext cx="1866899" cy="60960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447675</xdr:colOff>
      <xdr:row>43</xdr:row>
      <xdr:rowOff>3305175</xdr:rowOff>
    </xdr:from>
    <xdr:ext cx="1250407" cy="530658"/>
    <xdr:sp macro="" textlink="">
      <xdr:nvSpPr>
        <xdr:cNvPr id="6" name="TextBox 5"/>
        <xdr:cNvSpPr txBox="1"/>
      </xdr:nvSpPr>
      <xdr:spPr>
        <a:xfrm>
          <a:off x="8905875" y="12134850"/>
          <a:ext cx="1250407"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800"/>
            <a:t>x (east)</a:t>
          </a:r>
        </a:p>
      </xdr:txBody>
    </xdr:sp>
    <xdr:clientData/>
  </xdr:oneCellAnchor>
  <xdr:oneCellAnchor>
    <xdr:from>
      <xdr:col>8</xdr:col>
      <xdr:colOff>114300</xdr:colOff>
      <xdr:row>43</xdr:row>
      <xdr:rowOff>1057275</xdr:rowOff>
    </xdr:from>
    <xdr:ext cx="1458220" cy="530658"/>
    <xdr:sp macro="" textlink="">
      <xdr:nvSpPr>
        <xdr:cNvPr id="28" name="TextBox 27"/>
        <xdr:cNvSpPr txBox="1"/>
      </xdr:nvSpPr>
      <xdr:spPr>
        <a:xfrm>
          <a:off x="9182100" y="9886950"/>
          <a:ext cx="145822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800"/>
            <a:t>y (north)</a:t>
          </a:r>
        </a:p>
      </xdr:txBody>
    </xdr:sp>
    <xdr:clientData/>
  </xdr:oneCellAnchor>
  <xdr:oneCellAnchor>
    <xdr:from>
      <xdr:col>4</xdr:col>
      <xdr:colOff>190500</xdr:colOff>
      <xdr:row>42</xdr:row>
      <xdr:rowOff>38100</xdr:rowOff>
    </xdr:from>
    <xdr:ext cx="1002710" cy="530658"/>
    <xdr:sp macro="" textlink="">
      <xdr:nvSpPr>
        <xdr:cNvPr id="29" name="TextBox 28"/>
        <xdr:cNvSpPr txBox="1"/>
      </xdr:nvSpPr>
      <xdr:spPr>
        <a:xfrm>
          <a:off x="6819900" y="8677275"/>
          <a:ext cx="100271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800"/>
            <a:t>z (up)</a:t>
          </a:r>
        </a:p>
      </xdr:txBody>
    </xdr:sp>
    <xdr:clientData/>
  </xdr:oneCellAnchor>
  <xdr:oneCellAnchor>
    <xdr:from>
      <xdr:col>11</xdr:col>
      <xdr:colOff>390525</xdr:colOff>
      <xdr:row>43</xdr:row>
      <xdr:rowOff>1704975</xdr:rowOff>
    </xdr:from>
    <xdr:ext cx="1542795" cy="530658"/>
    <xdr:sp macro="" textlink="">
      <xdr:nvSpPr>
        <xdr:cNvPr id="32" name="TextBox 31"/>
        <xdr:cNvSpPr txBox="1"/>
      </xdr:nvSpPr>
      <xdr:spPr>
        <a:xfrm>
          <a:off x="11287125" y="10534650"/>
          <a:ext cx="1542795"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800"/>
            <a:t>beamline</a:t>
          </a:r>
        </a:p>
      </xdr:txBody>
    </xdr:sp>
    <xdr:clientData/>
  </xdr:oneCellAnchor>
  <xdr:oneCellAnchor>
    <xdr:from>
      <xdr:col>6</xdr:col>
      <xdr:colOff>57150</xdr:colOff>
      <xdr:row>43</xdr:row>
      <xdr:rowOff>2066925</xdr:rowOff>
    </xdr:from>
    <xdr:ext cx="2885149" cy="530658"/>
    <xdr:sp macro="" textlink="">
      <xdr:nvSpPr>
        <xdr:cNvPr id="34" name="TextBox 33"/>
        <xdr:cNvSpPr txBox="1"/>
      </xdr:nvSpPr>
      <xdr:spPr>
        <a:xfrm>
          <a:off x="7905750" y="10896600"/>
          <a:ext cx="2885149"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800"/>
            <a:t>+angle                   d</a:t>
          </a:r>
        </a:p>
      </xdr:txBody>
    </xdr:sp>
    <xdr:clientData/>
  </xdr:oneCellAnchor>
  <xdr:twoCellAnchor>
    <xdr:from>
      <xdr:col>1</xdr:col>
      <xdr:colOff>771526</xdr:colOff>
      <xdr:row>43</xdr:row>
      <xdr:rowOff>2581275</xdr:rowOff>
    </xdr:from>
    <xdr:to>
      <xdr:col>10</xdr:col>
      <xdr:colOff>133350</xdr:colOff>
      <xdr:row>59</xdr:row>
      <xdr:rowOff>57150</xdr:rowOff>
    </xdr:to>
    <xdr:cxnSp macro="">
      <xdr:nvCxnSpPr>
        <xdr:cNvPr id="35" name="Straight Connector 34"/>
        <xdr:cNvCxnSpPr/>
      </xdr:nvCxnSpPr>
      <xdr:spPr>
        <a:xfrm flipH="1">
          <a:off x="5286376" y="11410950"/>
          <a:ext cx="5133974" cy="4191000"/>
        </a:xfrm>
        <a:prstGeom prst="line">
          <a:avLst/>
        </a:prstGeom>
        <a:ln>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742951</xdr:colOff>
      <xdr:row>43</xdr:row>
      <xdr:rowOff>2524125</xdr:rowOff>
    </xdr:from>
    <xdr:to>
      <xdr:col>6</xdr:col>
      <xdr:colOff>428625</xdr:colOff>
      <xdr:row>58</xdr:row>
      <xdr:rowOff>28575</xdr:rowOff>
    </xdr:to>
    <xdr:cxnSp macro="">
      <xdr:nvCxnSpPr>
        <xdr:cNvPr id="36" name="Straight Connector 35"/>
        <xdr:cNvCxnSpPr/>
      </xdr:nvCxnSpPr>
      <xdr:spPr>
        <a:xfrm flipH="1">
          <a:off x="5257801" y="11353800"/>
          <a:ext cx="3019424" cy="4029075"/>
        </a:xfrm>
        <a:prstGeom prst="line">
          <a:avLst/>
        </a:prstGeom>
        <a:ln>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28576</xdr:colOff>
      <xdr:row>43</xdr:row>
      <xdr:rowOff>1476375</xdr:rowOff>
    </xdr:from>
    <xdr:to>
      <xdr:col>14</xdr:col>
      <xdr:colOff>552450</xdr:colOff>
      <xdr:row>43</xdr:row>
      <xdr:rowOff>1790700</xdr:rowOff>
    </xdr:to>
    <xdr:cxnSp macro="">
      <xdr:nvCxnSpPr>
        <xdr:cNvPr id="39" name="Straight Connector 38"/>
        <xdr:cNvCxnSpPr/>
      </xdr:nvCxnSpPr>
      <xdr:spPr>
        <a:xfrm>
          <a:off x="12753976" y="10306050"/>
          <a:ext cx="523874" cy="3143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342900</xdr:colOff>
      <xdr:row>43</xdr:row>
      <xdr:rowOff>1476375</xdr:rowOff>
    </xdr:from>
    <xdr:to>
      <xdr:col>14</xdr:col>
      <xdr:colOff>66675</xdr:colOff>
      <xdr:row>43</xdr:row>
      <xdr:rowOff>2990850</xdr:rowOff>
    </xdr:to>
    <xdr:cxnSp macro="">
      <xdr:nvCxnSpPr>
        <xdr:cNvPr id="30" name="Straight Connector 29"/>
        <xdr:cNvCxnSpPr/>
      </xdr:nvCxnSpPr>
      <xdr:spPr>
        <a:xfrm flipH="1">
          <a:off x="6972300" y="10306050"/>
          <a:ext cx="5819775" cy="1514475"/>
        </a:xfrm>
        <a:prstGeom prst="line">
          <a:avLst/>
        </a:prstGeom>
        <a:ln>
          <a:headEnd type="triangl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43</xdr:row>
      <xdr:rowOff>781050</xdr:rowOff>
    </xdr:from>
    <xdr:to>
      <xdr:col>14</xdr:col>
      <xdr:colOff>19051</xdr:colOff>
      <xdr:row>43</xdr:row>
      <xdr:rowOff>1514475</xdr:rowOff>
    </xdr:to>
    <xdr:cxnSp macro="">
      <xdr:nvCxnSpPr>
        <xdr:cNvPr id="41" name="Straight Connector 40"/>
        <xdr:cNvCxnSpPr/>
      </xdr:nvCxnSpPr>
      <xdr:spPr>
        <a:xfrm>
          <a:off x="12744450" y="9610725"/>
          <a:ext cx="1" cy="7334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oneCellAnchor>
    <xdr:from>
      <xdr:col>13</xdr:col>
      <xdr:colOff>447675</xdr:colOff>
      <xdr:row>43</xdr:row>
      <xdr:rowOff>295275</xdr:rowOff>
    </xdr:from>
    <xdr:ext cx="564257" cy="530658"/>
    <xdr:sp macro="" textlink="">
      <xdr:nvSpPr>
        <xdr:cNvPr id="47" name="TextBox 46"/>
        <xdr:cNvSpPr txBox="1"/>
      </xdr:nvSpPr>
      <xdr:spPr>
        <a:xfrm>
          <a:off x="12563475" y="9124950"/>
          <a:ext cx="564257"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800"/>
            <a:t>z'''</a:t>
          </a:r>
        </a:p>
      </xdr:txBody>
    </xdr:sp>
    <xdr:clientData/>
  </xdr:oneCellAnchor>
  <xdr:oneCellAnchor>
    <xdr:from>
      <xdr:col>14</xdr:col>
      <xdr:colOff>438150</xdr:colOff>
      <xdr:row>43</xdr:row>
      <xdr:rowOff>1647825</xdr:rowOff>
    </xdr:from>
    <xdr:ext cx="577915" cy="530658"/>
    <xdr:sp macro="" textlink="">
      <xdr:nvSpPr>
        <xdr:cNvPr id="48" name="TextBox 47"/>
        <xdr:cNvSpPr txBox="1"/>
      </xdr:nvSpPr>
      <xdr:spPr>
        <a:xfrm>
          <a:off x="13163550" y="10477500"/>
          <a:ext cx="577915"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800"/>
            <a:t>x'''</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trlProp" Target="../ctrlProps/ctrlProp1.xml"/><Relationship Id="rId3" Type="http://schemas.openxmlformats.org/officeDocument/2006/relationships/drawing" Target="../drawings/drawing1.xml"/><Relationship Id="rId21" Type="http://schemas.openxmlformats.org/officeDocument/2006/relationships/control" Target="../activeX/activeX9.xml"/><Relationship Id="rId34" Type="http://schemas.openxmlformats.org/officeDocument/2006/relationships/image" Target="../media/image15.emf"/><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ontrol" Target="../activeX/activeX13.xml"/><Relationship Id="rId1" Type="http://schemas.openxmlformats.org/officeDocument/2006/relationships/hyperlink" Target="http://www.ngdc.noaa.gov/geomag-web/" TargetMode="Externa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143"/>
  <sheetViews>
    <sheetView tabSelected="1" workbookViewId="0">
      <selection activeCell="K10" sqref="K10"/>
    </sheetView>
  </sheetViews>
  <sheetFormatPr defaultRowHeight="15" x14ac:dyDescent="0.25"/>
  <cols>
    <col min="1" max="1" width="67.7109375" customWidth="1"/>
    <col min="2" max="2" width="12.5703125" customWidth="1"/>
    <col min="4" max="4" width="10" bestFit="1" customWidth="1"/>
  </cols>
  <sheetData>
    <row r="1" spans="1:5" x14ac:dyDescent="0.25">
      <c r="A1" s="47" t="s">
        <v>104</v>
      </c>
    </row>
    <row r="2" spans="1:5" ht="15.75" thickBot="1" x14ac:dyDescent="0.3">
      <c r="A2" s="31" t="s">
        <v>101</v>
      </c>
    </row>
    <row r="3" spans="1:5" ht="28.5" customHeight="1" thickBot="1" x14ac:dyDescent="0.3">
      <c r="A3" s="1" t="s">
        <v>0</v>
      </c>
      <c r="B3" s="2"/>
      <c r="E3" s="29" t="s">
        <v>99</v>
      </c>
    </row>
    <row r="4" spans="1:5" ht="28.5" customHeight="1" thickBot="1" x14ac:dyDescent="0.3">
      <c r="A4" s="1" t="s">
        <v>1</v>
      </c>
      <c r="B4" s="2"/>
      <c r="E4" s="29" t="s">
        <v>100</v>
      </c>
    </row>
    <row r="6" spans="1:5" ht="30" customHeight="1" x14ac:dyDescent="0.25">
      <c r="A6" s="35"/>
      <c r="B6" s="36"/>
    </row>
    <row r="7" spans="1:5" x14ac:dyDescent="0.25">
      <c r="A7" s="37"/>
      <c r="B7" s="38"/>
    </row>
    <row r="8" spans="1:5" x14ac:dyDescent="0.25">
      <c r="A8" s="3" t="s">
        <v>2</v>
      </c>
      <c r="B8" s="4" t="s">
        <v>3</v>
      </c>
    </row>
    <row r="9" spans="1:5" x14ac:dyDescent="0.25">
      <c r="A9" s="39"/>
      <c r="B9" s="40"/>
    </row>
    <row r="10" spans="1:5" x14ac:dyDescent="0.25">
      <c r="A10" s="41" t="s">
        <v>4</v>
      </c>
      <c r="B10" s="42"/>
    </row>
    <row r="11" spans="1:5" x14ac:dyDescent="0.25">
      <c r="A11" s="33" t="s">
        <v>5</v>
      </c>
      <c r="B11" s="34"/>
    </row>
    <row r="12" spans="1:5" x14ac:dyDescent="0.25">
      <c r="A12" s="33" t="s">
        <v>6</v>
      </c>
      <c r="B12" s="34"/>
    </row>
    <row r="13" spans="1:5" x14ac:dyDescent="0.25">
      <c r="A13" s="33" t="s">
        <v>7</v>
      </c>
      <c r="B13" s="34"/>
    </row>
    <row r="14" spans="1:5" x14ac:dyDescent="0.25">
      <c r="A14" s="33"/>
      <c r="B14" s="34"/>
    </row>
    <row r="15" spans="1:5" x14ac:dyDescent="0.25">
      <c r="A15" s="37"/>
      <c r="B15" s="38"/>
    </row>
    <row r="16" spans="1:5" x14ac:dyDescent="0.25">
      <c r="A16" s="37"/>
      <c r="B16" s="38"/>
    </row>
    <row r="17" spans="1:2" ht="22.5" customHeight="1" x14ac:dyDescent="0.25">
      <c r="A17" s="41" t="s">
        <v>8</v>
      </c>
      <c r="B17" s="42"/>
    </row>
    <row r="18" spans="1:2" x14ac:dyDescent="0.25">
      <c r="A18" s="33" t="s">
        <v>5</v>
      </c>
      <c r="B18" s="34"/>
    </row>
    <row r="19" spans="1:2" x14ac:dyDescent="0.25">
      <c r="A19" s="33" t="s">
        <v>6</v>
      </c>
      <c r="B19" s="34"/>
    </row>
    <row r="20" spans="1:2" x14ac:dyDescent="0.25">
      <c r="A20" s="33" t="s">
        <v>7</v>
      </c>
      <c r="B20" s="34"/>
    </row>
    <row r="21" spans="1:2" x14ac:dyDescent="0.25">
      <c r="A21" s="33"/>
      <c r="B21" s="34"/>
    </row>
    <row r="22" spans="1:2" x14ac:dyDescent="0.25">
      <c r="A22" s="41"/>
      <c r="B22" s="42"/>
    </row>
    <row r="23" spans="1:2" x14ac:dyDescent="0.25">
      <c r="A23" s="41"/>
      <c r="B23" s="42"/>
    </row>
    <row r="24" spans="1:2" x14ac:dyDescent="0.25">
      <c r="A24" s="41" t="s">
        <v>9</v>
      </c>
      <c r="B24" s="42"/>
    </row>
    <row r="25" spans="1:2" x14ac:dyDescent="0.25">
      <c r="A25" s="43"/>
      <c r="B25" s="44"/>
    </row>
    <row r="26" spans="1:2" x14ac:dyDescent="0.25">
      <c r="A26" s="45" t="s">
        <v>10</v>
      </c>
      <c r="B26" s="46"/>
    </row>
    <row r="27" spans="1:2" x14ac:dyDescent="0.25">
      <c r="A27" s="43"/>
      <c r="B27" s="44"/>
    </row>
    <row r="28" spans="1:2" x14ac:dyDescent="0.25">
      <c r="A28" s="10"/>
      <c r="B28" s="10"/>
    </row>
    <row r="29" spans="1:2" x14ac:dyDescent="0.25">
      <c r="A29" s="6" t="s">
        <v>11</v>
      </c>
    </row>
    <row r="30" spans="1:2" x14ac:dyDescent="0.25">
      <c r="A30" s="6"/>
    </row>
    <row r="31" spans="1:2" x14ac:dyDescent="0.25">
      <c r="A31" s="6"/>
    </row>
    <row r="32" spans="1:2" x14ac:dyDescent="0.25">
      <c r="A32" s="7" t="s">
        <v>12</v>
      </c>
    </row>
    <row r="33" spans="1:2" x14ac:dyDescent="0.25">
      <c r="A33" s="8" t="s">
        <v>13</v>
      </c>
    </row>
    <row r="34" spans="1:2" x14ac:dyDescent="0.25">
      <c r="A34" s="8" t="s">
        <v>14</v>
      </c>
    </row>
    <row r="35" spans="1:2" x14ac:dyDescent="0.25">
      <c r="A35" s="8" t="s">
        <v>15</v>
      </c>
      <c r="B35" t="s">
        <v>22</v>
      </c>
    </row>
    <row r="36" spans="1:2" x14ac:dyDescent="0.25">
      <c r="A36" s="8" t="s">
        <v>16</v>
      </c>
      <c r="B36" t="s">
        <v>24</v>
      </c>
    </row>
    <row r="37" spans="1:2" x14ac:dyDescent="0.25">
      <c r="A37" s="8" t="s">
        <v>17</v>
      </c>
      <c r="B37" t="s">
        <v>23</v>
      </c>
    </row>
    <row r="38" spans="1:2" x14ac:dyDescent="0.25">
      <c r="A38" s="8" t="s">
        <v>18</v>
      </c>
    </row>
    <row r="39" spans="1:2" x14ac:dyDescent="0.25">
      <c r="A39" s="8" t="s">
        <v>19</v>
      </c>
    </row>
    <row r="42" spans="1:2" x14ac:dyDescent="0.25">
      <c r="A42" s="9" t="s">
        <v>20</v>
      </c>
    </row>
    <row r="44" spans="1:2" ht="303.75" x14ac:dyDescent="0.25">
      <c r="A44" s="5" t="s">
        <v>21</v>
      </c>
    </row>
    <row r="46" spans="1:2" x14ac:dyDescent="0.25">
      <c r="A46" s="11"/>
    </row>
    <row r="47" spans="1:2" x14ac:dyDescent="0.25">
      <c r="A47" s="12"/>
    </row>
    <row r="48" spans="1:2" x14ac:dyDescent="0.25">
      <c r="A48" s="12" t="s">
        <v>29</v>
      </c>
    </row>
    <row r="49" spans="1:5" x14ac:dyDescent="0.25">
      <c r="A49" s="12" t="s">
        <v>25</v>
      </c>
      <c r="B49" s="30">
        <v>2.2940000000000001E-5</v>
      </c>
      <c r="C49" s="13" t="s">
        <v>28</v>
      </c>
      <c r="D49" s="13"/>
    </row>
    <row r="50" spans="1:5" x14ac:dyDescent="0.25">
      <c r="A50" s="12" t="s">
        <v>26</v>
      </c>
      <c r="B50" s="30">
        <v>3.641E-6</v>
      </c>
      <c r="C50" s="13" t="s">
        <v>28</v>
      </c>
      <c r="D50" s="13"/>
    </row>
    <row r="51" spans="1:5" x14ac:dyDescent="0.25">
      <c r="A51" s="12" t="s">
        <v>27</v>
      </c>
      <c r="B51" s="30">
        <v>4.4047E-5</v>
      </c>
      <c r="C51" s="13" t="s">
        <v>28</v>
      </c>
      <c r="D51" s="13"/>
    </row>
    <row r="52" spans="1:5" x14ac:dyDescent="0.25">
      <c r="A52" s="12"/>
      <c r="B52" s="13"/>
      <c r="C52" s="13"/>
      <c r="D52" s="13"/>
    </row>
    <row r="53" spans="1:5" x14ac:dyDescent="0.25">
      <c r="A53" s="12" t="s">
        <v>30</v>
      </c>
      <c r="B53" s="13"/>
      <c r="C53" s="13"/>
      <c r="D53" s="13"/>
    </row>
    <row r="54" spans="1:5" x14ac:dyDescent="0.25">
      <c r="A54" s="12" t="s">
        <v>31</v>
      </c>
      <c r="B54" s="28">
        <v>1</v>
      </c>
      <c r="C54" s="13" t="s">
        <v>32</v>
      </c>
      <c r="D54" s="13">
        <f>+B54*1.661E-27</f>
        <v>1.6610000000000001E-27</v>
      </c>
      <c r="E54" t="s">
        <v>37</v>
      </c>
    </row>
    <row r="55" spans="1:5" x14ac:dyDescent="0.25">
      <c r="A55" s="12" t="s">
        <v>33</v>
      </c>
      <c r="B55" s="28">
        <v>0.1</v>
      </c>
      <c r="C55" s="13" t="s">
        <v>34</v>
      </c>
      <c r="D55" s="13">
        <f>+B55*1000000*1.6E-19</f>
        <v>1.5999999999999998E-14</v>
      </c>
      <c r="E55" t="s">
        <v>38</v>
      </c>
    </row>
    <row r="56" spans="1:5" x14ac:dyDescent="0.25">
      <c r="A56" s="12" t="s">
        <v>35</v>
      </c>
      <c r="B56" s="28">
        <v>1</v>
      </c>
      <c r="C56" s="13" t="s">
        <v>36</v>
      </c>
      <c r="D56" s="13">
        <f>+B56*1.6E-19</f>
        <v>1.5999999999999999E-19</v>
      </c>
      <c r="E56" t="s">
        <v>39</v>
      </c>
    </row>
    <row r="57" spans="1:5" x14ac:dyDescent="0.25">
      <c r="A57" s="12"/>
      <c r="B57" s="14"/>
      <c r="C57" s="13"/>
      <c r="D57" s="13"/>
    </row>
    <row r="58" spans="1:5" x14ac:dyDescent="0.25">
      <c r="A58" s="12" t="s">
        <v>40</v>
      </c>
      <c r="B58" s="14"/>
      <c r="C58" s="13"/>
      <c r="D58" s="13"/>
    </row>
    <row r="59" spans="1:5" x14ac:dyDescent="0.25">
      <c r="A59" s="12" t="s">
        <v>41</v>
      </c>
      <c r="B59" s="26">
        <v>45</v>
      </c>
      <c r="C59" s="13" t="s">
        <v>42</v>
      </c>
      <c r="D59" s="13">
        <f>+B59/180*PI()</f>
        <v>0.78539816339744828</v>
      </c>
      <c r="E59" t="s">
        <v>45</v>
      </c>
    </row>
    <row r="60" spans="1:5" x14ac:dyDescent="0.25">
      <c r="A60" s="12" t="s">
        <v>43</v>
      </c>
      <c r="B60" s="26">
        <v>5.1815999999999995</v>
      </c>
      <c r="C60" s="13" t="s">
        <v>44</v>
      </c>
      <c r="D60" s="13"/>
    </row>
    <row r="61" spans="1:5" x14ac:dyDescent="0.25">
      <c r="A61" s="12"/>
      <c r="B61" s="13"/>
      <c r="C61" s="13"/>
      <c r="D61" s="13"/>
    </row>
    <row r="62" spans="1:5" x14ac:dyDescent="0.25">
      <c r="A62" s="12" t="s">
        <v>46</v>
      </c>
      <c r="B62" s="13"/>
      <c r="C62" s="13"/>
      <c r="D62" s="13" t="s">
        <v>51</v>
      </c>
    </row>
    <row r="63" spans="1:5" x14ac:dyDescent="0.25">
      <c r="A63" s="12" t="s">
        <v>52</v>
      </c>
      <c r="B63" s="13">
        <f>SQRT(2*D55/D54)</f>
        <v>4389248.5358215151</v>
      </c>
      <c r="C63" s="13" t="s">
        <v>50</v>
      </c>
      <c r="D63" s="13">
        <f>SQRT(2*B55/931)*300000000</f>
        <v>4397050.0803649463</v>
      </c>
    </row>
    <row r="64" spans="1:5" x14ac:dyDescent="0.25">
      <c r="A64" s="12" t="s">
        <v>47</v>
      </c>
      <c r="B64" s="13">
        <f>+SIN(D59)*B63</f>
        <v>3103667.4039925179</v>
      </c>
      <c r="C64" s="13" t="s">
        <v>50</v>
      </c>
      <c r="D64" s="13"/>
    </row>
    <row r="65" spans="1:4" x14ac:dyDescent="0.25">
      <c r="A65" s="12" t="s">
        <v>48</v>
      </c>
      <c r="B65" s="13">
        <f>+B63*COS(D59)</f>
        <v>3103667.4039925183</v>
      </c>
      <c r="C65" s="13" t="s">
        <v>50</v>
      </c>
      <c r="D65" s="13"/>
    </row>
    <row r="66" spans="1:4" x14ac:dyDescent="0.25">
      <c r="A66" s="12" t="s">
        <v>49</v>
      </c>
      <c r="B66" s="13">
        <v>0</v>
      </c>
      <c r="C66" s="13" t="s">
        <v>50</v>
      </c>
      <c r="D66" s="13"/>
    </row>
    <row r="67" spans="1:4" x14ac:dyDescent="0.25">
      <c r="A67" s="12"/>
      <c r="B67" s="13"/>
      <c r="C67" s="13"/>
      <c r="D67" s="13"/>
    </row>
    <row r="68" spans="1:4" x14ac:dyDescent="0.25">
      <c r="A68" s="12" t="s">
        <v>53</v>
      </c>
      <c r="B68" s="13"/>
      <c r="C68" s="13"/>
      <c r="D68" s="13"/>
    </row>
    <row r="69" spans="1:4" x14ac:dyDescent="0.25">
      <c r="A69" s="12" t="s">
        <v>54</v>
      </c>
      <c r="B69" s="13">
        <f>+B65*B51-B66*B50</f>
        <v>136.70723814365846</v>
      </c>
      <c r="C69" s="13">
        <f>+B69*$D$56</f>
        <v>2.1873158102985351E-17</v>
      </c>
      <c r="D69" s="13" t="s">
        <v>57</v>
      </c>
    </row>
    <row r="70" spans="1:4" x14ac:dyDescent="0.25">
      <c r="A70" s="12" t="s">
        <v>55</v>
      </c>
      <c r="B70" s="13">
        <f>+B66*B49-B64*B51</f>
        <v>-136.70723814365843</v>
      </c>
      <c r="C70" s="13">
        <f t="shared" ref="C70:C71" si="0">+B70*$D$56</f>
        <v>-2.1873158102985348E-17</v>
      </c>
      <c r="D70" s="13" t="s">
        <v>57</v>
      </c>
    </row>
    <row r="71" spans="1:4" x14ac:dyDescent="0.25">
      <c r="A71" s="12" t="s">
        <v>56</v>
      </c>
      <c r="B71" s="13">
        <f>+B64*B50-B65*B49</f>
        <v>-59.897677229651606</v>
      </c>
      <c r="C71" s="13">
        <f t="shared" si="0"/>
        <v>-9.5836283567442566E-18</v>
      </c>
      <c r="D71" s="13" t="s">
        <v>57</v>
      </c>
    </row>
    <row r="72" spans="1:4" x14ac:dyDescent="0.25">
      <c r="A72" s="12"/>
      <c r="B72" s="13"/>
      <c r="C72" s="13"/>
      <c r="D72" s="13"/>
    </row>
    <row r="73" spans="1:4" x14ac:dyDescent="0.25">
      <c r="A73" s="12" t="s">
        <v>58</v>
      </c>
      <c r="B73" s="13"/>
      <c r="C73" s="13"/>
      <c r="D73" s="13"/>
    </row>
    <row r="74" spans="1:4" x14ac:dyDescent="0.25">
      <c r="A74" s="12" t="s">
        <v>59</v>
      </c>
      <c r="B74" s="13">
        <f>+B60/B63</f>
        <v>1.1805209838795751E-6</v>
      </c>
      <c r="C74" s="13" t="s">
        <v>60</v>
      </c>
      <c r="D74" s="13"/>
    </row>
    <row r="75" spans="1:4" x14ac:dyDescent="0.25">
      <c r="A75" s="12"/>
      <c r="B75" s="13"/>
      <c r="C75" s="13"/>
      <c r="D75" s="13"/>
    </row>
    <row r="76" spans="1:4" x14ac:dyDescent="0.25">
      <c r="A76" s="12" t="s">
        <v>61</v>
      </c>
      <c r="B76" s="13"/>
      <c r="C76" s="13"/>
      <c r="D76" s="13"/>
    </row>
    <row r="77" spans="1:4" x14ac:dyDescent="0.25">
      <c r="A77" s="12" t="s">
        <v>62</v>
      </c>
      <c r="B77" s="13">
        <f>0.5*C69*$B$74^2/$D$54</f>
        <v>9.1761242647897482E-3</v>
      </c>
      <c r="C77" s="13" t="s">
        <v>44</v>
      </c>
      <c r="D77" s="13"/>
    </row>
    <row r="78" spans="1:4" x14ac:dyDescent="0.25">
      <c r="A78" s="12" t="s">
        <v>63</v>
      </c>
      <c r="B78" s="13">
        <f t="shared" ref="B78:B79" si="1">0.5*C70*$B$74^2/$D$54</f>
        <v>-9.1761242647897465E-3</v>
      </c>
      <c r="C78" s="13" t="s">
        <v>44</v>
      </c>
      <c r="D78" s="13"/>
    </row>
    <row r="79" spans="1:4" x14ac:dyDescent="0.25">
      <c r="A79" s="12" t="s">
        <v>64</v>
      </c>
      <c r="B79" s="13">
        <f t="shared" si="1"/>
        <v>-4.0204786293317899E-3</v>
      </c>
      <c r="C79" s="13" t="s">
        <v>44</v>
      </c>
      <c r="D79" s="13"/>
    </row>
    <row r="80" spans="1:4" x14ac:dyDescent="0.25">
      <c r="A80" s="12"/>
      <c r="B80" s="13"/>
      <c r="C80" s="13"/>
      <c r="D80" s="13"/>
    </row>
    <row r="81" spans="1:9" x14ac:dyDescent="0.25">
      <c r="A81" s="12" t="s">
        <v>65</v>
      </c>
      <c r="B81" s="13"/>
      <c r="C81" s="13"/>
      <c r="D81" s="13"/>
    </row>
    <row r="82" spans="1:9" x14ac:dyDescent="0.25">
      <c r="A82" s="12" t="s">
        <v>66</v>
      </c>
      <c r="B82" s="13">
        <f>+B77*COS(D59)-B78*SIN(D59)</f>
        <v>1.2976999385286507E-2</v>
      </c>
      <c r="C82" s="13" t="s">
        <v>44</v>
      </c>
      <c r="D82" s="13" t="s">
        <v>69</v>
      </c>
    </row>
    <row r="83" spans="1:9" x14ac:dyDescent="0.25">
      <c r="A83" s="12" t="s">
        <v>67</v>
      </c>
      <c r="B83" s="13">
        <f>+B79</f>
        <v>-4.0204786293317899E-3</v>
      </c>
      <c r="C83" s="13" t="s">
        <v>44</v>
      </c>
      <c r="D83" s="13" t="s">
        <v>70</v>
      </c>
    </row>
    <row r="84" spans="1:9" x14ac:dyDescent="0.25">
      <c r="A84" s="12"/>
      <c r="B84" s="13"/>
      <c r="C84" s="13"/>
      <c r="D84" s="13"/>
    </row>
    <row r="85" spans="1:9" x14ac:dyDescent="0.25">
      <c r="A85" s="12" t="s">
        <v>68</v>
      </c>
      <c r="B85" s="13"/>
      <c r="C85" s="13"/>
      <c r="D85" s="13"/>
    </row>
    <row r="86" spans="1:9" x14ac:dyDescent="0.25">
      <c r="A86" s="12" t="s">
        <v>102</v>
      </c>
      <c r="B86" s="13"/>
      <c r="C86" s="13"/>
      <c r="D86" s="13"/>
    </row>
    <row r="87" spans="1:9" x14ac:dyDescent="0.25">
      <c r="A87" s="12" t="s">
        <v>74</v>
      </c>
      <c r="B87" s="27">
        <f>-B82*1000</f>
        <v>-12.976999385286508</v>
      </c>
      <c r="C87" s="13" t="s">
        <v>71</v>
      </c>
      <c r="D87" s="13" t="s">
        <v>103</v>
      </c>
    </row>
    <row r="88" spans="1:9" x14ac:dyDescent="0.25">
      <c r="A88" s="12" t="s">
        <v>73</v>
      </c>
      <c r="B88" s="27">
        <f>-B83*1000</f>
        <v>4.02047862933179</v>
      </c>
      <c r="C88" s="13" t="s">
        <v>71</v>
      </c>
      <c r="D88" s="13" t="s">
        <v>72</v>
      </c>
    </row>
    <row r="89" spans="1:9" x14ac:dyDescent="0.25">
      <c r="A89" s="12"/>
      <c r="B89" s="13"/>
      <c r="C89" s="13"/>
      <c r="D89" s="13"/>
    </row>
    <row r="90" spans="1:9" x14ac:dyDescent="0.25">
      <c r="A90" s="12"/>
      <c r="B90" s="13"/>
      <c r="C90" s="13"/>
      <c r="D90" s="13"/>
    </row>
    <row r="91" spans="1:9" s="17" customFormat="1" x14ac:dyDescent="0.25">
      <c r="B91" s="32"/>
      <c r="C91" s="32" t="s">
        <v>32</v>
      </c>
      <c r="D91" s="32" t="s">
        <v>34</v>
      </c>
      <c r="F91" s="17" t="s">
        <v>42</v>
      </c>
    </row>
    <row r="92" spans="1:9" x14ac:dyDescent="0.25">
      <c r="A92" s="19" t="s">
        <v>98</v>
      </c>
      <c r="B92" s="20" t="s">
        <v>81</v>
      </c>
      <c r="C92" s="21" t="s">
        <v>44</v>
      </c>
      <c r="D92" s="21" t="s">
        <v>75</v>
      </c>
      <c r="E92" s="21" t="s">
        <v>76</v>
      </c>
      <c r="F92" s="21" t="s">
        <v>77</v>
      </c>
      <c r="G92" s="21" t="s">
        <v>78</v>
      </c>
      <c r="H92" s="21" t="s">
        <v>79</v>
      </c>
      <c r="I92" s="21" t="s">
        <v>80</v>
      </c>
    </row>
    <row r="93" spans="1:9" x14ac:dyDescent="0.25">
      <c r="A93" s="12" t="s">
        <v>91</v>
      </c>
      <c r="B93" s="22" t="s">
        <v>82</v>
      </c>
      <c r="C93" s="23">
        <v>1</v>
      </c>
      <c r="D93" s="23">
        <v>1</v>
      </c>
      <c r="E93" s="23">
        <v>1</v>
      </c>
      <c r="F93" s="23">
        <v>15</v>
      </c>
      <c r="G93" s="23">
        <v>10</v>
      </c>
      <c r="H93" s="22">
        <v>1.4199610813879002</v>
      </c>
      <c r="I93" s="22">
        <v>0.68395401207080064</v>
      </c>
    </row>
    <row r="94" spans="1:9" x14ac:dyDescent="0.25">
      <c r="A94" s="12"/>
      <c r="B94" s="22" t="s">
        <v>86</v>
      </c>
      <c r="C94" s="23">
        <v>4</v>
      </c>
      <c r="D94" s="23">
        <v>3</v>
      </c>
      <c r="E94" s="23">
        <v>1</v>
      </c>
      <c r="F94" s="23">
        <v>15</v>
      </c>
      <c r="G94" s="23">
        <v>10</v>
      </c>
      <c r="H94" s="22">
        <v>0.40990745628904812</v>
      </c>
      <c r="I94" s="22">
        <v>0.19744051649120059</v>
      </c>
    </row>
    <row r="95" spans="1:9" x14ac:dyDescent="0.25">
      <c r="A95" s="12"/>
      <c r="B95" s="22" t="s">
        <v>39</v>
      </c>
      <c r="C95" s="23">
        <v>12</v>
      </c>
      <c r="D95" s="23">
        <v>12</v>
      </c>
      <c r="E95" s="23">
        <v>4</v>
      </c>
      <c r="F95" s="23">
        <v>15</v>
      </c>
      <c r="G95" s="23">
        <v>10</v>
      </c>
      <c r="H95" s="22">
        <v>0.47332036046263337</v>
      </c>
      <c r="I95" s="22">
        <v>0.22798467069026684</v>
      </c>
    </row>
    <row r="96" spans="1:9" x14ac:dyDescent="0.25">
      <c r="A96" s="12"/>
      <c r="B96" s="22" t="s">
        <v>83</v>
      </c>
      <c r="C96" s="23">
        <v>28</v>
      </c>
      <c r="D96" s="23">
        <v>36</v>
      </c>
      <c r="E96" s="23">
        <v>5</v>
      </c>
      <c r="F96" s="23">
        <v>15</v>
      </c>
      <c r="G96" s="23">
        <v>10</v>
      </c>
      <c r="H96" s="22">
        <v>0.223622850758496</v>
      </c>
      <c r="I96" s="22">
        <v>0.10771263238953618</v>
      </c>
    </row>
    <row r="97" spans="1:9" x14ac:dyDescent="0.25">
      <c r="A97" s="12"/>
      <c r="B97" s="22" t="s">
        <v>84</v>
      </c>
      <c r="C97" s="23">
        <v>65</v>
      </c>
      <c r="D97" s="23">
        <v>36</v>
      </c>
      <c r="E97" s="23">
        <v>5</v>
      </c>
      <c r="F97" s="23">
        <v>15</v>
      </c>
      <c r="G97" s="23">
        <v>10</v>
      </c>
      <c r="H97" s="22">
        <v>0.14677041321412806</v>
      </c>
      <c r="I97" s="22">
        <v>7.0695045298688364E-2</v>
      </c>
    </row>
    <row r="98" spans="1:9" x14ac:dyDescent="0.25">
      <c r="A98" s="12" t="s">
        <v>85</v>
      </c>
      <c r="B98" s="22" t="s">
        <v>82</v>
      </c>
      <c r="C98" s="23">
        <v>1</v>
      </c>
      <c r="D98" s="23">
        <v>1</v>
      </c>
      <c r="E98" s="23">
        <v>1</v>
      </c>
      <c r="F98" s="23">
        <v>15</v>
      </c>
      <c r="G98" s="23">
        <v>8</v>
      </c>
      <c r="H98" s="22">
        <v>0.90877509208825646</v>
      </c>
      <c r="I98" s="22">
        <v>0.43773056772531238</v>
      </c>
    </row>
    <row r="99" spans="1:9" x14ac:dyDescent="0.25">
      <c r="A99" s="12"/>
      <c r="B99" s="22" t="s">
        <v>86</v>
      </c>
      <c r="C99" s="23">
        <v>4</v>
      </c>
      <c r="D99" s="23">
        <v>3</v>
      </c>
      <c r="E99" s="23">
        <v>1</v>
      </c>
      <c r="F99" s="23">
        <v>15</v>
      </c>
      <c r="G99" s="23">
        <v>8</v>
      </c>
      <c r="H99" s="22">
        <v>0.26234077202499095</v>
      </c>
      <c r="I99" s="22">
        <v>0.12636193055436845</v>
      </c>
    </row>
    <row r="100" spans="1:9" x14ac:dyDescent="0.25">
      <c r="A100" s="12"/>
      <c r="B100" s="22" t="s">
        <v>39</v>
      </c>
      <c r="C100" s="23">
        <v>12</v>
      </c>
      <c r="D100" s="23">
        <v>12</v>
      </c>
      <c r="E100" s="23">
        <v>4</v>
      </c>
      <c r="F100" s="23">
        <v>15</v>
      </c>
      <c r="G100" s="23">
        <v>8</v>
      </c>
      <c r="H100" s="22">
        <v>0.30292503069608545</v>
      </c>
      <c r="I100" s="22">
        <v>0.14591018924177079</v>
      </c>
    </row>
    <row r="101" spans="1:9" x14ac:dyDescent="0.25">
      <c r="A101" s="12"/>
      <c r="B101" s="22" t="s">
        <v>83</v>
      </c>
      <c r="C101" s="23">
        <v>28</v>
      </c>
      <c r="D101" s="23">
        <v>36</v>
      </c>
      <c r="E101" s="23">
        <v>5</v>
      </c>
      <c r="F101" s="23">
        <v>15</v>
      </c>
      <c r="G101" s="23">
        <v>8</v>
      </c>
      <c r="H101" s="22">
        <v>0.14311862448543744</v>
      </c>
      <c r="I101" s="22">
        <v>6.8936084729303154E-2</v>
      </c>
    </row>
    <row r="102" spans="1:9" x14ac:dyDescent="0.25">
      <c r="A102" s="12"/>
      <c r="B102" s="22" t="s">
        <v>84</v>
      </c>
      <c r="C102" s="23">
        <v>65</v>
      </c>
      <c r="D102" s="23">
        <v>36</v>
      </c>
      <c r="E102" s="23">
        <v>5</v>
      </c>
      <c r="F102" s="23">
        <v>15</v>
      </c>
      <c r="G102" s="23">
        <v>8</v>
      </c>
      <c r="H102" s="22">
        <v>9.3933064457041984E-2</v>
      </c>
      <c r="I102" s="22">
        <v>4.524482899116055E-2</v>
      </c>
    </row>
    <row r="103" spans="1:9" x14ac:dyDescent="0.25">
      <c r="A103" s="12" t="s">
        <v>87</v>
      </c>
      <c r="B103" s="22" t="s">
        <v>82</v>
      </c>
      <c r="C103" s="23">
        <v>1</v>
      </c>
      <c r="D103" s="23">
        <v>1</v>
      </c>
      <c r="E103" s="23">
        <v>1</v>
      </c>
      <c r="F103" s="23">
        <v>-15</v>
      </c>
      <c r="G103" s="23">
        <v>7</v>
      </c>
      <c r="H103" s="22">
        <v>0.69578092988007112</v>
      </c>
      <c r="I103" s="22">
        <v>0.3649069862256033</v>
      </c>
    </row>
    <row r="104" spans="1:9" x14ac:dyDescent="0.25">
      <c r="A104" s="12"/>
      <c r="B104" s="22" t="s">
        <v>86</v>
      </c>
      <c r="C104" s="23">
        <v>4</v>
      </c>
      <c r="D104" s="23">
        <v>3</v>
      </c>
      <c r="E104" s="23">
        <v>1</v>
      </c>
      <c r="F104" s="23">
        <v>-15</v>
      </c>
      <c r="G104" s="23">
        <v>7</v>
      </c>
      <c r="H104" s="22">
        <v>0.2008546535816336</v>
      </c>
      <c r="I104" s="22">
        <v>0.10533957336326355</v>
      </c>
    </row>
    <row r="105" spans="1:9" x14ac:dyDescent="0.25">
      <c r="A105" s="12"/>
      <c r="B105" s="22" t="s">
        <v>39</v>
      </c>
      <c r="C105" s="23">
        <v>12</v>
      </c>
      <c r="D105" s="23">
        <v>12</v>
      </c>
      <c r="E105" s="23">
        <v>4</v>
      </c>
      <c r="F105" s="23">
        <v>-15</v>
      </c>
      <c r="G105" s="23">
        <v>7</v>
      </c>
      <c r="H105" s="22">
        <v>0.23192697662669032</v>
      </c>
      <c r="I105" s="22">
        <v>0.1216356620752011</v>
      </c>
    </row>
    <row r="106" spans="1:9" x14ac:dyDescent="0.25">
      <c r="A106" s="12"/>
      <c r="B106" s="22" t="s">
        <v>83</v>
      </c>
      <c r="C106" s="23">
        <v>28</v>
      </c>
      <c r="D106" s="23">
        <v>36</v>
      </c>
      <c r="E106" s="23">
        <v>5</v>
      </c>
      <c r="F106" s="23">
        <v>-15</v>
      </c>
      <c r="G106" s="23">
        <v>7</v>
      </c>
      <c r="H106" s="22">
        <v>0.10957519687166299</v>
      </c>
      <c r="I106" s="22">
        <v>5.7467448644227294E-2</v>
      </c>
    </row>
    <row r="107" spans="1:9" x14ac:dyDescent="0.25">
      <c r="A107" s="12"/>
      <c r="B107" s="22" t="s">
        <v>84</v>
      </c>
      <c r="C107" s="23">
        <v>65</v>
      </c>
      <c r="D107" s="23">
        <v>36</v>
      </c>
      <c r="E107" s="23">
        <v>5</v>
      </c>
      <c r="F107" s="23">
        <v>-15</v>
      </c>
      <c r="G107" s="23">
        <v>7</v>
      </c>
      <c r="H107" s="22">
        <v>7.1917502474922734E-2</v>
      </c>
      <c r="I107" s="22">
        <v>3.7717617655200548E-2</v>
      </c>
    </row>
    <row r="108" spans="1:9" x14ac:dyDescent="0.25">
      <c r="A108" s="12" t="s">
        <v>88</v>
      </c>
      <c r="B108" s="22" t="s">
        <v>82</v>
      </c>
      <c r="C108" s="23">
        <v>1</v>
      </c>
      <c r="D108" s="23">
        <v>1</v>
      </c>
      <c r="E108" s="23">
        <v>1</v>
      </c>
      <c r="F108" s="23">
        <v>45</v>
      </c>
      <c r="G108" s="23">
        <v>12</v>
      </c>
      <c r="H108" s="22">
        <v>2.0447439571985764</v>
      </c>
      <c r="I108" s="22">
        <v>0.63354433017815992</v>
      </c>
    </row>
    <row r="109" spans="1:9" x14ac:dyDescent="0.25">
      <c r="A109" s="12"/>
      <c r="B109" s="22" t="s">
        <v>86</v>
      </c>
      <c r="C109" s="23">
        <v>4</v>
      </c>
      <c r="D109" s="23">
        <v>3</v>
      </c>
      <c r="E109" s="23">
        <v>1</v>
      </c>
      <c r="F109" s="23">
        <v>45</v>
      </c>
      <c r="G109" s="23">
        <v>12</v>
      </c>
      <c r="H109" s="22">
        <v>0.59026673705622945</v>
      </c>
      <c r="I109" s="22">
        <v>0.18288849478596086</v>
      </c>
    </row>
    <row r="110" spans="1:9" x14ac:dyDescent="0.25">
      <c r="A110" s="12"/>
      <c r="B110" s="22" t="s">
        <v>39</v>
      </c>
      <c r="C110" s="23">
        <v>12</v>
      </c>
      <c r="D110" s="23">
        <v>12</v>
      </c>
      <c r="E110" s="23">
        <v>4</v>
      </c>
      <c r="F110" s="23">
        <v>45</v>
      </c>
      <c r="G110" s="23">
        <v>12</v>
      </c>
      <c r="H110" s="22">
        <v>0.68158131906619213</v>
      </c>
      <c r="I110" s="22">
        <v>0.21118144339271994</v>
      </c>
    </row>
    <row r="111" spans="1:9" x14ac:dyDescent="0.25">
      <c r="A111" s="12"/>
      <c r="B111" s="22" t="s">
        <v>83</v>
      </c>
      <c r="C111" s="23">
        <v>28</v>
      </c>
      <c r="D111" s="23">
        <v>36</v>
      </c>
      <c r="E111" s="23">
        <v>5</v>
      </c>
      <c r="F111" s="23">
        <v>45</v>
      </c>
      <c r="G111" s="23">
        <v>12</v>
      </c>
      <c r="H111" s="22">
        <v>0.32201690509223418</v>
      </c>
      <c r="I111" s="22">
        <v>9.9773853701571699E-2</v>
      </c>
    </row>
    <row r="112" spans="1:9" x14ac:dyDescent="0.25">
      <c r="A112" s="12"/>
      <c r="B112" s="22" t="s">
        <v>84</v>
      </c>
      <c r="C112" s="23">
        <v>65</v>
      </c>
      <c r="D112" s="23">
        <v>36</v>
      </c>
      <c r="E112" s="23">
        <v>5</v>
      </c>
      <c r="F112" s="23">
        <v>45</v>
      </c>
      <c r="G112" s="23">
        <v>12</v>
      </c>
      <c r="H112" s="22">
        <v>0.21134939502834435</v>
      </c>
      <c r="I112" s="22">
        <v>6.5484585703454917E-2</v>
      </c>
    </row>
    <row r="113" spans="1:9" x14ac:dyDescent="0.25">
      <c r="A113" s="12" t="s">
        <v>89</v>
      </c>
      <c r="B113" s="22" t="s">
        <v>82</v>
      </c>
      <c r="C113" s="23">
        <v>1</v>
      </c>
      <c r="D113" s="23">
        <v>1</v>
      </c>
      <c r="E113" s="23">
        <v>1</v>
      </c>
      <c r="F113" s="23">
        <v>90</v>
      </c>
      <c r="G113" s="23">
        <v>12</v>
      </c>
      <c r="H113" s="22">
        <v>2.0447439571985764</v>
      </c>
      <c r="I113" s="22">
        <v>-0.1688988056872944</v>
      </c>
    </row>
    <row r="114" spans="1:9" x14ac:dyDescent="0.25">
      <c r="A114" s="12"/>
      <c r="B114" s="22" t="s">
        <v>86</v>
      </c>
      <c r="C114" s="23">
        <v>4</v>
      </c>
      <c r="D114" s="23">
        <v>3</v>
      </c>
      <c r="E114" s="23">
        <v>1</v>
      </c>
      <c r="F114" s="23">
        <v>90</v>
      </c>
      <c r="G114" s="23">
        <v>12</v>
      </c>
      <c r="H114" s="22">
        <v>0.59026673705622923</v>
      </c>
      <c r="I114" s="22">
        <v>-4.8756885464682848E-2</v>
      </c>
    </row>
    <row r="115" spans="1:9" x14ac:dyDescent="0.25">
      <c r="A115" s="12"/>
      <c r="B115" s="22" t="s">
        <v>39</v>
      </c>
      <c r="C115" s="23">
        <v>12</v>
      </c>
      <c r="D115" s="23">
        <v>12</v>
      </c>
      <c r="E115" s="23">
        <v>4</v>
      </c>
      <c r="F115" s="23">
        <v>90</v>
      </c>
      <c r="G115" s="23">
        <v>12</v>
      </c>
      <c r="H115" s="22">
        <v>0.68158131906619202</v>
      </c>
      <c r="I115" s="22">
        <v>-5.6299601895764786E-2</v>
      </c>
    </row>
    <row r="116" spans="1:9" x14ac:dyDescent="0.25">
      <c r="A116" s="12"/>
      <c r="B116" s="22" t="s">
        <v>83</v>
      </c>
      <c r="C116" s="23">
        <v>28</v>
      </c>
      <c r="D116" s="23">
        <v>36</v>
      </c>
      <c r="E116" s="23">
        <v>5</v>
      </c>
      <c r="F116" s="23">
        <v>90</v>
      </c>
      <c r="G116" s="23">
        <v>12</v>
      </c>
      <c r="H116" s="22">
        <v>0.32201690509223413</v>
      </c>
      <c r="I116" s="22">
        <v>-2.6599061701452542E-2</v>
      </c>
    </row>
    <row r="117" spans="1:9" x14ac:dyDescent="0.25">
      <c r="A117" s="12"/>
      <c r="B117" s="22" t="s">
        <v>84</v>
      </c>
      <c r="C117" s="23">
        <v>65</v>
      </c>
      <c r="D117" s="23">
        <v>36</v>
      </c>
      <c r="E117" s="23">
        <v>5</v>
      </c>
      <c r="F117" s="23">
        <v>90</v>
      </c>
      <c r="G117" s="23">
        <v>12</v>
      </c>
      <c r="H117" s="22">
        <v>0.21134939502834441</v>
      </c>
      <c r="I117" s="22">
        <v>-1.7457765446548208E-2</v>
      </c>
    </row>
    <row r="118" spans="1:9" x14ac:dyDescent="0.25">
      <c r="A118" s="12"/>
      <c r="B118" s="23" t="s">
        <v>90</v>
      </c>
      <c r="C118" s="23">
        <v>197</v>
      </c>
      <c r="D118" s="23">
        <v>5</v>
      </c>
      <c r="E118" s="23">
        <v>4</v>
      </c>
      <c r="F118" s="23">
        <v>90</v>
      </c>
      <c r="G118" s="22">
        <v>12</v>
      </c>
      <c r="H118" s="22">
        <v>0.26060383923371455</v>
      </c>
      <c r="I118" s="22">
        <v>-2.1526253714622644E-2</v>
      </c>
    </row>
    <row r="119" spans="1:9" x14ac:dyDescent="0.25">
      <c r="A119" s="12" t="s">
        <v>92</v>
      </c>
      <c r="B119" s="23" t="s">
        <v>82</v>
      </c>
      <c r="C119" s="23">
        <v>1</v>
      </c>
      <c r="D119" s="24">
        <v>2.5</v>
      </c>
      <c r="E119" s="23">
        <v>1</v>
      </c>
      <c r="F119" s="25">
        <v>7.5</v>
      </c>
      <c r="G119" s="22">
        <v>14</v>
      </c>
      <c r="H119" s="22">
        <v>1.7602019927447443</v>
      </c>
      <c r="I119" s="22">
        <v>0.88989417757279832</v>
      </c>
    </row>
    <row r="120" spans="1:9" x14ac:dyDescent="0.25">
      <c r="A120" s="12"/>
      <c r="B120" s="23" t="s">
        <v>94</v>
      </c>
      <c r="C120" s="23">
        <v>3</v>
      </c>
      <c r="D120" s="24">
        <v>1</v>
      </c>
      <c r="E120" s="23">
        <v>1</v>
      </c>
      <c r="F120" s="25">
        <v>7.5</v>
      </c>
      <c r="G120" s="22">
        <v>14</v>
      </c>
      <c r="H120" s="22">
        <v>1.6068372286530683</v>
      </c>
      <c r="I120" s="22">
        <v>0.8123585247485493</v>
      </c>
    </row>
    <row r="121" spans="1:9" x14ac:dyDescent="0.25">
      <c r="A121" s="12"/>
      <c r="B121" s="23" t="s">
        <v>93</v>
      </c>
      <c r="C121" s="23">
        <v>4</v>
      </c>
      <c r="D121" s="24">
        <v>0.75</v>
      </c>
      <c r="E121" s="23">
        <v>1</v>
      </c>
      <c r="F121" s="25">
        <v>7.5</v>
      </c>
      <c r="G121" s="22">
        <v>14</v>
      </c>
      <c r="H121" s="22">
        <v>1.6068372286530688</v>
      </c>
      <c r="I121" s="22">
        <v>0.81235852474854908</v>
      </c>
    </row>
    <row r="122" spans="1:9" x14ac:dyDescent="0.25">
      <c r="A122" s="12"/>
      <c r="B122" s="23" t="s">
        <v>39</v>
      </c>
      <c r="C122" s="23">
        <v>12</v>
      </c>
      <c r="D122" s="24">
        <v>0.25</v>
      </c>
      <c r="E122" s="23">
        <v>1</v>
      </c>
      <c r="F122" s="25">
        <v>7.5</v>
      </c>
      <c r="G122" s="22">
        <v>14</v>
      </c>
      <c r="H122" s="22">
        <v>1.6068372286530683</v>
      </c>
      <c r="I122" s="22">
        <v>0.8123585247485493</v>
      </c>
    </row>
    <row r="123" spans="1:9" x14ac:dyDescent="0.25">
      <c r="A123" s="12" t="s">
        <v>95</v>
      </c>
      <c r="B123" s="23" t="s">
        <v>82</v>
      </c>
      <c r="C123" s="23">
        <v>1</v>
      </c>
      <c r="D123" s="24">
        <v>0.25</v>
      </c>
      <c r="E123" s="23">
        <v>1</v>
      </c>
      <c r="F123" s="25">
        <v>-15</v>
      </c>
      <c r="G123" s="22">
        <v>17</v>
      </c>
      <c r="H123" s="22">
        <v>8.2073750504220619</v>
      </c>
      <c r="I123" s="22">
        <v>4.3044130211918104</v>
      </c>
    </row>
    <row r="124" spans="1:9" x14ac:dyDescent="0.25">
      <c r="A124" s="12"/>
      <c r="B124" s="23" t="s">
        <v>97</v>
      </c>
      <c r="C124" s="23">
        <v>31</v>
      </c>
      <c r="D124" s="24">
        <v>0.25</v>
      </c>
      <c r="E124" s="23">
        <v>1</v>
      </c>
      <c r="F124" s="23">
        <v>-15</v>
      </c>
      <c r="G124" s="22">
        <v>17</v>
      </c>
      <c r="H124" s="22">
        <v>1.4740880747780711</v>
      </c>
      <c r="I124" s="22">
        <v>0.77309540071913752</v>
      </c>
    </row>
    <row r="125" spans="1:9" x14ac:dyDescent="0.25">
      <c r="A125" s="12"/>
      <c r="B125" s="23" t="s">
        <v>96</v>
      </c>
      <c r="C125" s="23">
        <v>121</v>
      </c>
      <c r="D125" s="24">
        <v>0.25</v>
      </c>
      <c r="E125" s="23">
        <v>1</v>
      </c>
      <c r="F125" s="23">
        <v>-15</v>
      </c>
      <c r="G125" s="22">
        <v>17</v>
      </c>
      <c r="H125" s="22">
        <v>0.7461250045838238</v>
      </c>
      <c r="I125" s="22">
        <v>0.39131027465380092</v>
      </c>
    </row>
    <row r="126" spans="1:9" x14ac:dyDescent="0.25">
      <c r="A126" s="12"/>
      <c r="B126" s="23" t="s">
        <v>82</v>
      </c>
      <c r="C126" s="23">
        <v>1</v>
      </c>
      <c r="D126" s="24">
        <v>0.02</v>
      </c>
      <c r="E126" s="23">
        <v>1</v>
      </c>
      <c r="F126" s="25">
        <v>-15</v>
      </c>
      <c r="G126" s="22">
        <v>17</v>
      </c>
      <c r="H126" s="22">
        <v>29.017452769473618</v>
      </c>
      <c r="I126" s="22">
        <v>15.218398181562018</v>
      </c>
    </row>
    <row r="127" spans="1:9" x14ac:dyDescent="0.25">
      <c r="A127" s="12"/>
      <c r="B127" s="23" t="s">
        <v>97</v>
      </c>
      <c r="C127" s="23">
        <v>31</v>
      </c>
      <c r="D127" s="24">
        <v>0.02</v>
      </c>
      <c r="E127" s="23">
        <v>1</v>
      </c>
      <c r="F127" s="23">
        <v>-15</v>
      </c>
      <c r="G127" s="22">
        <v>17</v>
      </c>
      <c r="H127" s="22">
        <v>5.2116883687089839</v>
      </c>
      <c r="I127" s="22">
        <v>2.7333050017631679</v>
      </c>
    </row>
    <row r="128" spans="1:9" x14ac:dyDescent="0.25">
      <c r="A128" s="12"/>
      <c r="B128" s="23" t="s">
        <v>96</v>
      </c>
      <c r="C128" s="23">
        <v>121</v>
      </c>
      <c r="D128" s="24">
        <v>0.02</v>
      </c>
      <c r="E128" s="23">
        <v>1</v>
      </c>
      <c r="F128" s="23">
        <v>-15</v>
      </c>
      <c r="G128" s="22">
        <v>17</v>
      </c>
      <c r="H128" s="22">
        <v>2.6379502517703286</v>
      </c>
      <c r="I128" s="22">
        <v>1.383490743778365</v>
      </c>
    </row>
    <row r="129" spans="1:8" x14ac:dyDescent="0.25">
      <c r="A129" s="12"/>
      <c r="B129" s="16"/>
      <c r="C129" s="16"/>
      <c r="D129" s="18"/>
      <c r="E129" s="16"/>
      <c r="F129" s="16"/>
      <c r="G129" s="17"/>
      <c r="H129" s="17"/>
    </row>
    <row r="130" spans="1:8" x14ac:dyDescent="0.25">
      <c r="A130" s="12"/>
      <c r="B130" s="16"/>
      <c r="C130" s="16"/>
      <c r="D130" s="18"/>
      <c r="E130" s="16"/>
      <c r="F130" s="16"/>
      <c r="G130" s="17"/>
      <c r="H130" s="17"/>
    </row>
    <row r="131" spans="1:8" x14ac:dyDescent="0.25">
      <c r="A131" s="12"/>
      <c r="B131" s="16"/>
      <c r="C131" s="16"/>
      <c r="D131" s="16"/>
      <c r="E131" s="16"/>
      <c r="F131" s="16"/>
      <c r="G131" s="17"/>
      <c r="H131" s="17"/>
    </row>
    <row r="132" spans="1:8" x14ac:dyDescent="0.25">
      <c r="A132" s="12"/>
      <c r="B132" s="16"/>
      <c r="C132" s="16"/>
      <c r="D132" s="16"/>
      <c r="E132" s="16"/>
      <c r="F132" s="16"/>
      <c r="G132" s="17"/>
      <c r="H132" s="17"/>
    </row>
    <row r="133" spans="1:8" x14ac:dyDescent="0.25">
      <c r="A133" s="12"/>
      <c r="B133" s="16"/>
      <c r="C133" s="16"/>
      <c r="D133" s="16"/>
      <c r="E133" s="16"/>
      <c r="F133" s="16"/>
      <c r="G133" s="17"/>
      <c r="H133" s="17"/>
    </row>
    <row r="134" spans="1:8" x14ac:dyDescent="0.25">
      <c r="A134" s="12"/>
      <c r="B134" s="16"/>
      <c r="C134" s="16"/>
      <c r="D134" s="16"/>
      <c r="E134" s="16"/>
      <c r="F134" s="16"/>
      <c r="G134" s="17"/>
      <c r="H134" s="17"/>
    </row>
    <row r="135" spans="1:8" x14ac:dyDescent="0.25">
      <c r="A135" s="12"/>
      <c r="B135" s="16"/>
      <c r="C135" s="16"/>
      <c r="D135" s="16"/>
      <c r="E135" s="16"/>
      <c r="F135" s="16"/>
      <c r="G135" s="17"/>
      <c r="H135" s="17"/>
    </row>
    <row r="136" spans="1:8" x14ac:dyDescent="0.25">
      <c r="A136" s="12"/>
      <c r="B136" s="16"/>
      <c r="C136" s="16"/>
      <c r="D136" s="16"/>
      <c r="E136" s="16"/>
      <c r="F136" s="16"/>
      <c r="G136" s="17"/>
      <c r="H136" s="17"/>
    </row>
    <row r="137" spans="1:8" x14ac:dyDescent="0.25">
      <c r="A137" s="12"/>
      <c r="B137" s="16"/>
      <c r="C137" s="16"/>
      <c r="D137" s="16"/>
      <c r="E137" s="16"/>
      <c r="F137" s="16"/>
      <c r="G137" s="17"/>
      <c r="H137" s="17"/>
    </row>
    <row r="138" spans="1:8" x14ac:dyDescent="0.25">
      <c r="A138" s="12"/>
      <c r="B138" s="16"/>
      <c r="C138" s="16"/>
      <c r="D138" s="16"/>
      <c r="E138" s="16"/>
      <c r="F138" s="16"/>
      <c r="G138" s="17"/>
      <c r="H138" s="17"/>
    </row>
    <row r="139" spans="1:8" x14ac:dyDescent="0.25">
      <c r="A139" s="12"/>
      <c r="B139" s="16"/>
      <c r="C139" s="16"/>
      <c r="D139" s="16"/>
      <c r="E139" s="16"/>
      <c r="F139" s="16"/>
      <c r="G139" s="17"/>
      <c r="H139" s="17"/>
    </row>
    <row r="140" spans="1:8" x14ac:dyDescent="0.25">
      <c r="A140" s="12"/>
      <c r="B140" s="16"/>
      <c r="C140" s="16"/>
      <c r="D140" s="16"/>
      <c r="E140" s="16"/>
      <c r="F140" s="16"/>
      <c r="G140" s="17"/>
      <c r="H140" s="17"/>
    </row>
    <row r="141" spans="1:8" x14ac:dyDescent="0.25">
      <c r="A141" s="12"/>
      <c r="B141" s="15"/>
      <c r="C141" s="15"/>
      <c r="D141" s="15"/>
      <c r="E141" s="15"/>
      <c r="F141" s="15"/>
    </row>
    <row r="142" spans="1:8" x14ac:dyDescent="0.25">
      <c r="A142" s="12"/>
      <c r="B142" s="15"/>
      <c r="C142" s="15"/>
      <c r="D142" s="15"/>
      <c r="E142" s="15"/>
      <c r="F142" s="15"/>
    </row>
    <row r="143" spans="1:8" x14ac:dyDescent="0.25">
      <c r="B143" s="15"/>
      <c r="C143" s="15"/>
      <c r="D143" s="15"/>
      <c r="E143" s="15"/>
      <c r="F143" s="15"/>
    </row>
  </sheetData>
  <mergeCells count="20">
    <mergeCell ref="A25:B25"/>
    <mergeCell ref="A26:B27"/>
    <mergeCell ref="A19:B19"/>
    <mergeCell ref="A20:B20"/>
    <mergeCell ref="A21:B21"/>
    <mergeCell ref="A22:B22"/>
    <mergeCell ref="A23:B23"/>
    <mergeCell ref="A24:B24"/>
    <mergeCell ref="A18:B18"/>
    <mergeCell ref="A6:B6"/>
    <mergeCell ref="A7:B7"/>
    <mergeCell ref="A9:B9"/>
    <mergeCell ref="A10:B10"/>
    <mergeCell ref="A11:B11"/>
    <mergeCell ref="A12:B12"/>
    <mergeCell ref="A13:B13"/>
    <mergeCell ref="A14:B14"/>
    <mergeCell ref="A15:B15"/>
    <mergeCell ref="A16:B16"/>
    <mergeCell ref="A17:B17"/>
  </mergeCells>
  <hyperlinks>
    <hyperlink ref="A2" r:id="rId1" location="igrfwmm"/>
  </hyperlinks>
  <pageMargins left="0.7" right="0.7" top="0.75" bottom="0.75" header="0.3" footer="0.3"/>
  <pageSetup orientation="portrait" r:id="rId2"/>
  <drawing r:id="rId3"/>
  <legacyDrawing r:id="rId4"/>
  <controls>
    <mc:AlternateContent xmlns:mc="http://schemas.openxmlformats.org/markup-compatibility/2006">
      <mc:Choice Requires="x14">
        <control shapeId="1041" r:id="rId5" name="Control 17">
          <controlPr defaultSize="0" r:id="rId6">
            <anchor moveWithCells="1">
              <from>
                <xdr:col>0</xdr:col>
                <xdr:colOff>0</xdr:colOff>
                <xdr:row>28</xdr:row>
                <xdr:rowOff>0</xdr:rowOff>
              </from>
              <to>
                <xdr:col>0</xdr:col>
                <xdr:colOff>2362200</xdr:colOff>
                <xdr:row>29</xdr:row>
                <xdr:rowOff>133350</xdr:rowOff>
              </to>
            </anchor>
          </controlPr>
        </control>
      </mc:Choice>
      <mc:Fallback>
        <control shapeId="1041" r:id="rId5" name="Control 17"/>
      </mc:Fallback>
    </mc:AlternateContent>
    <mc:AlternateContent xmlns:mc="http://schemas.openxmlformats.org/markup-compatibility/2006">
      <mc:Choice Requires="x14">
        <control shapeId="1040" r:id="rId7" name="Control 16">
          <controlPr defaultSize="0" r:id="rId8">
            <anchor moveWithCells="1">
              <from>
                <xdr:col>0</xdr:col>
                <xdr:colOff>0</xdr:colOff>
                <xdr:row>26</xdr:row>
                <xdr:rowOff>0</xdr:rowOff>
              </from>
              <to>
                <xdr:col>0</xdr:col>
                <xdr:colOff>419100</xdr:colOff>
                <xdr:row>27</xdr:row>
                <xdr:rowOff>38100</xdr:rowOff>
              </to>
            </anchor>
          </controlPr>
        </control>
      </mc:Choice>
      <mc:Fallback>
        <control shapeId="1040" r:id="rId7" name="Control 16"/>
      </mc:Fallback>
    </mc:AlternateContent>
    <mc:AlternateContent xmlns:mc="http://schemas.openxmlformats.org/markup-compatibility/2006">
      <mc:Choice Requires="x14">
        <control shapeId="1039" r:id="rId9" name="Control 15">
          <controlPr defaultSize="0" r:id="rId10">
            <anchor moveWithCells="1">
              <from>
                <xdr:col>0</xdr:col>
                <xdr:colOff>0</xdr:colOff>
                <xdr:row>24</xdr:row>
                <xdr:rowOff>0</xdr:rowOff>
              </from>
              <to>
                <xdr:col>0</xdr:col>
                <xdr:colOff>419100</xdr:colOff>
                <xdr:row>25</xdr:row>
                <xdr:rowOff>38100</xdr:rowOff>
              </to>
            </anchor>
          </controlPr>
        </control>
      </mc:Choice>
      <mc:Fallback>
        <control shapeId="1039" r:id="rId9" name="Control 15"/>
      </mc:Fallback>
    </mc:AlternateContent>
    <mc:AlternateContent xmlns:mc="http://schemas.openxmlformats.org/markup-compatibility/2006">
      <mc:Choice Requires="x14">
        <control shapeId="1038" r:id="rId11" name="Control 14">
          <controlPr defaultSize="0" r:id="rId12">
            <anchor moveWithCells="1">
              <from>
                <xdr:col>0</xdr:col>
                <xdr:colOff>0</xdr:colOff>
                <xdr:row>20</xdr:row>
                <xdr:rowOff>0</xdr:rowOff>
              </from>
              <to>
                <xdr:col>0</xdr:col>
                <xdr:colOff>266700</xdr:colOff>
                <xdr:row>21</xdr:row>
                <xdr:rowOff>38100</xdr:rowOff>
              </to>
            </anchor>
          </controlPr>
        </control>
      </mc:Choice>
      <mc:Fallback>
        <control shapeId="1038" r:id="rId11" name="Control 14"/>
      </mc:Fallback>
    </mc:AlternateContent>
    <mc:AlternateContent xmlns:mc="http://schemas.openxmlformats.org/markup-compatibility/2006">
      <mc:Choice Requires="x14">
        <control shapeId="1037" r:id="rId13" name="Control 13">
          <controlPr defaultSize="0" r:id="rId14">
            <anchor moveWithCells="1">
              <from>
                <xdr:col>0</xdr:col>
                <xdr:colOff>0</xdr:colOff>
                <xdr:row>19</xdr:row>
                <xdr:rowOff>0</xdr:rowOff>
              </from>
              <to>
                <xdr:col>0</xdr:col>
                <xdr:colOff>266700</xdr:colOff>
                <xdr:row>20</xdr:row>
                <xdr:rowOff>38100</xdr:rowOff>
              </to>
            </anchor>
          </controlPr>
        </control>
      </mc:Choice>
      <mc:Fallback>
        <control shapeId="1037" r:id="rId13" name="Control 13"/>
      </mc:Fallback>
    </mc:AlternateContent>
    <mc:AlternateContent xmlns:mc="http://schemas.openxmlformats.org/markup-compatibility/2006">
      <mc:Choice Requires="x14">
        <control shapeId="1036" r:id="rId15" name="Control 12">
          <controlPr defaultSize="0" r:id="rId16">
            <anchor moveWithCells="1">
              <from>
                <xdr:col>0</xdr:col>
                <xdr:colOff>0</xdr:colOff>
                <xdr:row>18</xdr:row>
                <xdr:rowOff>0</xdr:rowOff>
              </from>
              <to>
                <xdr:col>0</xdr:col>
                <xdr:colOff>381000</xdr:colOff>
                <xdr:row>19</xdr:row>
                <xdr:rowOff>38100</xdr:rowOff>
              </to>
            </anchor>
          </controlPr>
        </control>
      </mc:Choice>
      <mc:Fallback>
        <control shapeId="1036" r:id="rId15" name="Control 12"/>
      </mc:Fallback>
    </mc:AlternateContent>
    <mc:AlternateContent xmlns:mc="http://schemas.openxmlformats.org/markup-compatibility/2006">
      <mc:Choice Requires="x14">
        <control shapeId="1035" r:id="rId17" name="Control 11">
          <controlPr defaultSize="0" r:id="rId18">
            <anchor moveWithCells="1">
              <from>
                <xdr:col>0</xdr:col>
                <xdr:colOff>0</xdr:colOff>
                <xdr:row>13</xdr:row>
                <xdr:rowOff>0</xdr:rowOff>
              </from>
              <to>
                <xdr:col>0</xdr:col>
                <xdr:colOff>266700</xdr:colOff>
                <xdr:row>14</xdr:row>
                <xdr:rowOff>38100</xdr:rowOff>
              </to>
            </anchor>
          </controlPr>
        </control>
      </mc:Choice>
      <mc:Fallback>
        <control shapeId="1035" r:id="rId17" name="Control 11"/>
      </mc:Fallback>
    </mc:AlternateContent>
    <mc:AlternateContent xmlns:mc="http://schemas.openxmlformats.org/markup-compatibility/2006">
      <mc:Choice Requires="x14">
        <control shapeId="1034" r:id="rId19" name="Control 10">
          <controlPr defaultSize="0" r:id="rId20">
            <anchor moveWithCells="1">
              <from>
                <xdr:col>0</xdr:col>
                <xdr:colOff>0</xdr:colOff>
                <xdr:row>12</xdr:row>
                <xdr:rowOff>0</xdr:rowOff>
              </from>
              <to>
                <xdr:col>0</xdr:col>
                <xdr:colOff>266700</xdr:colOff>
                <xdr:row>13</xdr:row>
                <xdr:rowOff>38100</xdr:rowOff>
              </to>
            </anchor>
          </controlPr>
        </control>
      </mc:Choice>
      <mc:Fallback>
        <control shapeId="1034" r:id="rId19" name="Control 10"/>
      </mc:Fallback>
    </mc:AlternateContent>
    <mc:AlternateContent xmlns:mc="http://schemas.openxmlformats.org/markup-compatibility/2006">
      <mc:Choice Requires="x14">
        <control shapeId="1033" r:id="rId21" name="Control 9">
          <controlPr defaultSize="0" r:id="rId22">
            <anchor moveWithCells="1">
              <from>
                <xdr:col>0</xdr:col>
                <xdr:colOff>0</xdr:colOff>
                <xdr:row>11</xdr:row>
                <xdr:rowOff>0</xdr:rowOff>
              </from>
              <to>
                <xdr:col>0</xdr:col>
                <xdr:colOff>381000</xdr:colOff>
                <xdr:row>12</xdr:row>
                <xdr:rowOff>38100</xdr:rowOff>
              </to>
            </anchor>
          </controlPr>
        </control>
      </mc:Choice>
      <mc:Fallback>
        <control shapeId="1033" r:id="rId21" name="Control 9"/>
      </mc:Fallback>
    </mc:AlternateContent>
    <mc:AlternateContent xmlns:mc="http://schemas.openxmlformats.org/markup-compatibility/2006">
      <mc:Choice Requires="x14">
        <control shapeId="1032" r:id="rId23" name="Control 8">
          <controlPr defaultSize="0" r:id="rId24">
            <anchor moveWithCells="1">
              <from>
                <xdr:col>2</xdr:col>
                <xdr:colOff>0</xdr:colOff>
                <xdr:row>7</xdr:row>
                <xdr:rowOff>0</xdr:rowOff>
              </from>
              <to>
                <xdr:col>2</xdr:col>
                <xdr:colOff>257175</xdr:colOff>
                <xdr:row>8</xdr:row>
                <xdr:rowOff>76200</xdr:rowOff>
              </to>
            </anchor>
          </controlPr>
        </control>
      </mc:Choice>
      <mc:Fallback>
        <control shapeId="1032" r:id="rId23" name="Control 8"/>
      </mc:Fallback>
    </mc:AlternateContent>
    <mc:AlternateContent xmlns:mc="http://schemas.openxmlformats.org/markup-compatibility/2006">
      <mc:Choice Requires="x14">
        <control shapeId="1031" r:id="rId25" name="Control 7">
          <controlPr defaultSize="0" r:id="rId26">
            <anchor moveWithCells="1">
              <from>
                <xdr:col>2</xdr:col>
                <xdr:colOff>0</xdr:colOff>
                <xdr:row>7</xdr:row>
                <xdr:rowOff>0</xdr:rowOff>
              </from>
              <to>
                <xdr:col>2</xdr:col>
                <xdr:colOff>257175</xdr:colOff>
                <xdr:row>8</xdr:row>
                <xdr:rowOff>76200</xdr:rowOff>
              </to>
            </anchor>
          </controlPr>
        </control>
      </mc:Choice>
      <mc:Fallback>
        <control shapeId="1031" r:id="rId25" name="Control 7"/>
      </mc:Fallback>
    </mc:AlternateContent>
    <mc:AlternateContent xmlns:mc="http://schemas.openxmlformats.org/markup-compatibility/2006">
      <mc:Choice Requires="x14">
        <control shapeId="1030" r:id="rId27" name="Control 6">
          <controlPr defaultSize="0" r:id="rId28">
            <anchor moveWithCells="1">
              <from>
                <xdr:col>1</xdr:col>
                <xdr:colOff>0</xdr:colOff>
                <xdr:row>7</xdr:row>
                <xdr:rowOff>0</xdr:rowOff>
              </from>
              <to>
                <xdr:col>1</xdr:col>
                <xdr:colOff>819150</xdr:colOff>
                <xdr:row>8</xdr:row>
                <xdr:rowOff>38100</xdr:rowOff>
              </to>
            </anchor>
          </controlPr>
        </control>
      </mc:Choice>
      <mc:Fallback>
        <control shapeId="1030" r:id="rId27" name="Control 6"/>
      </mc:Fallback>
    </mc:AlternateContent>
    <mc:AlternateContent xmlns:mc="http://schemas.openxmlformats.org/markup-compatibility/2006">
      <mc:Choice Requires="x14">
        <control shapeId="1029" r:id="rId29" name="Control 5">
          <controlPr defaultSize="0" r:id="rId30">
            <anchor moveWithCells="1">
              <from>
                <xdr:col>1</xdr:col>
                <xdr:colOff>0</xdr:colOff>
                <xdr:row>7</xdr:row>
                <xdr:rowOff>0</xdr:rowOff>
              </from>
              <to>
                <xdr:col>1</xdr:col>
                <xdr:colOff>257175</xdr:colOff>
                <xdr:row>8</xdr:row>
                <xdr:rowOff>38100</xdr:rowOff>
              </to>
            </anchor>
          </controlPr>
        </control>
      </mc:Choice>
      <mc:Fallback>
        <control shapeId="1029" r:id="rId29" name="Control 5"/>
      </mc:Fallback>
    </mc:AlternateContent>
    <mc:AlternateContent xmlns:mc="http://schemas.openxmlformats.org/markup-compatibility/2006">
      <mc:Choice Requires="x14">
        <control shapeId="1028" r:id="rId31" name="Control 4">
          <controlPr defaultSize="0" r:id="rId32">
            <anchor moveWithCells="1">
              <from>
                <xdr:col>1</xdr:col>
                <xdr:colOff>0</xdr:colOff>
                <xdr:row>7</xdr:row>
                <xdr:rowOff>0</xdr:rowOff>
              </from>
              <to>
                <xdr:col>1</xdr:col>
                <xdr:colOff>257175</xdr:colOff>
                <xdr:row>8</xdr:row>
                <xdr:rowOff>38100</xdr:rowOff>
              </to>
            </anchor>
          </controlPr>
        </control>
      </mc:Choice>
      <mc:Fallback>
        <control shapeId="1028" r:id="rId31" name="Control 4"/>
      </mc:Fallback>
    </mc:AlternateContent>
    <mc:AlternateContent xmlns:mc="http://schemas.openxmlformats.org/markup-compatibility/2006">
      <mc:Choice Requires="x14">
        <control shapeId="1027" r:id="rId33" name="Control 3">
          <controlPr defaultSize="0" r:id="rId34">
            <anchor moveWithCells="1">
              <from>
                <xdr:col>0</xdr:col>
                <xdr:colOff>0</xdr:colOff>
                <xdr:row>7</xdr:row>
                <xdr:rowOff>0</xdr:rowOff>
              </from>
              <to>
                <xdr:col>0</xdr:col>
                <xdr:colOff>819150</xdr:colOff>
                <xdr:row>8</xdr:row>
                <xdr:rowOff>38100</xdr:rowOff>
              </to>
            </anchor>
          </controlPr>
        </control>
      </mc:Choice>
      <mc:Fallback>
        <control shapeId="1027" r:id="rId33" name="Control 3"/>
      </mc:Fallback>
    </mc:AlternateContent>
    <mc:AlternateContent xmlns:mc="http://schemas.openxmlformats.org/markup-compatibility/2006">
      <mc:Choice Requires="x14">
        <control shapeId="1026" r:id="rId35" name="Control 2">
          <controlPr defaultSize="0" r:id="rId36">
            <anchor moveWithCells="1">
              <from>
                <xdr:col>1</xdr:col>
                <xdr:colOff>0</xdr:colOff>
                <xdr:row>3</xdr:row>
                <xdr:rowOff>0</xdr:rowOff>
              </from>
              <to>
                <xdr:col>2</xdr:col>
                <xdr:colOff>304800</xdr:colOff>
                <xdr:row>3</xdr:row>
                <xdr:rowOff>228600</xdr:rowOff>
              </to>
            </anchor>
          </controlPr>
        </control>
      </mc:Choice>
      <mc:Fallback>
        <control shapeId="1026" r:id="rId35" name="Control 2"/>
      </mc:Fallback>
    </mc:AlternateContent>
    <mc:AlternateContent xmlns:mc="http://schemas.openxmlformats.org/markup-compatibility/2006">
      <mc:Choice Requires="x14">
        <control shapeId="1025" r:id="rId37" name="Control 1">
          <controlPr defaultSize="0" r:id="rId38">
            <anchor moveWithCells="1">
              <from>
                <xdr:col>1</xdr:col>
                <xdr:colOff>0</xdr:colOff>
                <xdr:row>2</xdr:row>
                <xdr:rowOff>0</xdr:rowOff>
              </from>
              <to>
                <xdr:col>2</xdr:col>
                <xdr:colOff>304800</xdr:colOff>
                <xdr:row>2</xdr:row>
                <xdr:rowOff>228600</xdr:rowOff>
              </to>
            </anchor>
          </controlPr>
        </control>
      </mc:Choice>
      <mc:Fallback>
        <control shapeId="1025" r:id="rId37" name="Control 1"/>
      </mc:Fallback>
    </mc:AlternateContent>
    <mc:AlternateContent xmlns:mc="http://schemas.openxmlformats.org/markup-compatibility/2006">
      <mc:Choice Requires="x14">
        <control shapeId="1044" r:id="rId39" name="Button 20">
          <controlPr defaultSize="0" print="0" autoFill="0" autoPict="0" macro="[0]!fillouttable">
            <anchor moveWithCells="1" sizeWithCells="1">
              <from>
                <xdr:col>5</xdr:col>
                <xdr:colOff>314325</xdr:colOff>
                <xdr:row>81</xdr:row>
                <xdr:rowOff>142875</xdr:rowOff>
              </from>
              <to>
                <xdr:col>11</xdr:col>
                <xdr:colOff>523875</xdr:colOff>
                <xdr:row>87</xdr:row>
                <xdr:rowOff>180975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Sheet2</vt:lpstr>
      <vt:lpstr>Sheet3</vt:lpstr>
      <vt:lpstr>Sheet1!results</vt:lpstr>
    </vt:vector>
  </TitlesOfParts>
  <Company>Sandia National Laboratories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bldoyle</dc:creator>
  <cp:lastModifiedBy>Referee</cp:lastModifiedBy>
  <dcterms:created xsi:type="dcterms:W3CDTF">2012-10-15T17:20:06Z</dcterms:created>
  <dcterms:modified xsi:type="dcterms:W3CDTF">2015-03-31T18:15:53Z</dcterms:modified>
</cp:coreProperties>
</file>