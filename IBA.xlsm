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nl\home\bldoyle\Documents\IBA best\IBA Periodic Table Programs\Programs for IBA Table\"/>
    </mc:Choice>
  </mc:AlternateContent>
  <xr:revisionPtr revIDLastSave="0" documentId="13_ncr:1_{F23B0C9E-F7A9-48A3-A57E-49818247C39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IBA" sheetId="1" r:id="rId1"/>
    <sheet name="IBA-prime" sheetId="3" r:id="rId2"/>
    <sheet name="Sheet1" sheetId="4" r:id="rId3"/>
  </sheets>
  <definedNames>
    <definedName name="\a">IBA!$AB$32</definedName>
    <definedName name="\e">IBA!$AK$32</definedName>
    <definedName name="_Fill" localSheetId="0" hidden="1">IBA!$C$134:$C$178</definedName>
    <definedName name="_Key1" localSheetId="0" hidden="1">IBA!$DS$32</definedName>
    <definedName name="_Order1" localSheetId="0" hidden="1">0</definedName>
    <definedName name="_Parse_In" localSheetId="0" hidden="1">IBA!$A$181:$A$421</definedName>
    <definedName name="_Parse_Out" localSheetId="0" hidden="1">IBA!$B$185</definedName>
    <definedName name="_Regression_Int" localSheetId="0" hidden="1">1</definedName>
    <definedName name="_Table1_In1" localSheetId="0" hidden="1">IBA!$D$10</definedName>
    <definedName name="_Table1_Out" localSheetId="0" hidden="1">IBA!$C$134:$D$177</definedName>
    <definedName name="A">IBA!$T$55</definedName>
    <definedName name="B">IBA!$T$56</definedName>
    <definedName name="BSRECOILE">IBA!$T$71</definedName>
    <definedName name="C_">IBA!$T$57</definedName>
    <definedName name="CHECKA">IBA!$AE$32</definedName>
    <definedName name="CHECKS">IBA!$AM$56</definedName>
    <definedName name="CMSIGMA">IBA!$T$62</definedName>
    <definedName name="CMTHETA">IBA!$X$69</definedName>
    <definedName name="COMPOUND">IBA!$D$22</definedName>
    <definedName name="COSPHI">IBA!$W$78</definedName>
    <definedName name="COSPSI">IBA!$V$31</definedName>
    <definedName name="COSRECOIL">IBA!$W$86</definedName>
    <definedName name="COSRECOIL2">IBA!$W$85</definedName>
    <definedName name="COSTHETA">IBA!$W$71</definedName>
    <definedName name="COSZETA">IBA!$V$47</definedName>
    <definedName name="D">IBA!$T$58</definedName>
    <definedName name="DELTAM">IBA!$T$43</definedName>
    <definedName name="DELTAZ">IBA!$T$42</definedName>
    <definedName name="DSCANA">IBA!$AB$38</definedName>
    <definedName name="DSCANE">IBA!$AL$46</definedName>
    <definedName name="DSCANERD">IBA!$AL$58</definedName>
    <definedName name="DSIGMA">IBA!$T$61</definedName>
    <definedName name="E_LEVEL_1">IBA!$AK$35</definedName>
    <definedName name="E1CM">IBA!$F$42</definedName>
    <definedName name="EERD">IBA!$AL$37</definedName>
    <definedName name="ENERGY1">IBA!$D$9</definedName>
    <definedName name="ENERGY3">IBA!$T$31</definedName>
    <definedName name="ENERGY4">IBA!$T$35</definedName>
    <definedName name="ENRA">IBA!$AK$37</definedName>
    <definedName name="ERBS">IBA!$AM$37</definedName>
    <definedName name="ERDE1">IBA!$D$57</definedName>
    <definedName name="ERDESCAT">IBA!$V$61</definedName>
    <definedName name="ERDESCATTER">IBA!$T$75</definedName>
    <definedName name="ERDK">IBA!$T$74</definedName>
    <definedName name="ERDMU">IBA!$T$73</definedName>
    <definedName name="ERDRECOILE">IBA!$T$76</definedName>
    <definedName name="ERECOIL">IBA!$D$34</definedName>
    <definedName name="ESCATTER">IBA!$T$70</definedName>
    <definedName name="ESQRD">IBA!$T$59</definedName>
    <definedName name="ETA">IBA!$X$29</definedName>
    <definedName name="ETOTAL">IBA!$T$30</definedName>
    <definedName name="EXLEVEL">IBA!$D$12</definedName>
    <definedName name="G_LEVEL_1">IBA!$AB$55</definedName>
    <definedName name="GAMMA">IBA!$AC$60</definedName>
    <definedName name="INCIDENT">IBA!$AC$61</definedName>
    <definedName name="INCM">IBA!$D$53</definedName>
    <definedName name="INCZ">IBA!$C$53</definedName>
    <definedName name="K">IBA!$T$69</definedName>
    <definedName name="MD">IBA!$D$8</definedName>
    <definedName name="MI">IBA!$D$6</definedName>
    <definedName name="MR">IBA!$D$32</definedName>
    <definedName name="MT">IBA!$D$7</definedName>
    <definedName name="MTABLE">IBA!$Z$69:$DQ$310</definedName>
    <definedName name="MU">IBA!$T$29</definedName>
    <definedName name="PHI">IBA!$W$76</definedName>
    <definedName name="PHIRAD">IBA!$W$77</definedName>
    <definedName name="_xlnm.Print_Area" localSheetId="0">IBA!$A$23:$I$70</definedName>
    <definedName name="Print_Area_MI">IBA!$A$23:$I$70</definedName>
    <definedName name="PSI">IBA!$D$10</definedName>
    <definedName name="PSIRAD">IBA!$V$30</definedName>
    <definedName name="QVALUE">IBA!$D$16</definedName>
    <definedName name="RBSESCAT">IBA!$V$60</definedName>
    <definedName name="REACTIONINFO">IBA!$C$15</definedName>
    <definedName name="RECMASS">IBA!$D$54</definedName>
    <definedName name="RECOILANGLE">IBA!$D$56</definedName>
    <definedName name="RECZ">IBA!$C$54</definedName>
    <definedName name="RESIDUAL">IBA!$AC$65</definedName>
    <definedName name="RXN">IBA!$AC$58</definedName>
    <definedName name="SINPHI">IBA!$W$79</definedName>
    <definedName name="SINPHI2">IBA!$W$80</definedName>
    <definedName name="SINPSI">IBA!$V$35</definedName>
    <definedName name="SINPSI2">IBA!$V$40</definedName>
    <definedName name="SINRECOIL">IBA!$W$84</definedName>
    <definedName name="SINRECOIL2">IBA!$W$87</definedName>
    <definedName name="SINTHETA">IBA!$W$72</definedName>
    <definedName name="SINTHETA2">IBA!$W$73</definedName>
    <definedName name="SINZETA">IBA!$V$48</definedName>
    <definedName name="SINZETA2">IBA!$V$49</definedName>
    <definedName name="SUBM">IBA!$D$55</definedName>
    <definedName name="SUBZ">IBA!$C$55</definedName>
    <definedName name="TARGET">IBA!$AC$62</definedName>
    <definedName name="THETA">IBA!$D$43</definedName>
    <definedName name="THETARAD">IBA!$W$70</definedName>
    <definedName name="UPSCANA">IBA!$AB$46</definedName>
    <definedName name="UPSCANE">IBA!$AL$51</definedName>
    <definedName name="UPSCANERD">IBA!$AL$63</definedName>
    <definedName name="ZBLOCK">IBA!#REF!</definedName>
    <definedName name="ZCOUNT">IBA!$K$135</definedName>
    <definedName name="ZD">IBA!$C$8</definedName>
    <definedName name="ZETA">IBA!$D$35</definedName>
    <definedName name="ZETARAD">IBA!$V$46</definedName>
    <definedName name="ZI">IBA!$C$6</definedName>
    <definedName name="ZR">IBA!$B$32</definedName>
    <definedName name="ZT">IBA!$C$7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3" l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42" i="1"/>
  <c r="D8" i="3"/>
  <c r="C8" i="3"/>
  <c r="D7" i="3"/>
  <c r="C7" i="3"/>
  <c r="D6" i="3"/>
  <c r="C6" i="3"/>
  <c r="N39" i="3" l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01" i="1"/>
  <c r="T27" i="1" l="1"/>
  <c r="P15" i="3"/>
  <c r="T59" i="3"/>
  <c r="R21" i="1"/>
  <c r="R22" i="1" s="1"/>
  <c r="R23" i="1" s="1"/>
  <c r="N58" i="3"/>
  <c r="M58" i="1" s="1"/>
  <c r="N47" i="3" l="1"/>
  <c r="N48" i="3"/>
  <c r="N49" i="3"/>
  <c r="N50" i="3"/>
  <c r="N51" i="3"/>
  <c r="N52" i="3"/>
  <c r="N53" i="3"/>
  <c r="N54" i="3"/>
  <c r="N55" i="3"/>
  <c r="N56" i="3"/>
  <c r="N57" i="3"/>
  <c r="N58" i="1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D11" i="3"/>
  <c r="B84" i="3" s="1"/>
  <c r="B93" i="3" s="1"/>
  <c r="D57" i="3"/>
  <c r="B81" i="3"/>
  <c r="B80" i="3"/>
  <c r="AC62" i="3"/>
  <c r="D41" i="3" s="1"/>
  <c r="T47" i="3"/>
  <c r="R62" i="3"/>
  <c r="W87" i="3"/>
  <c r="W79" i="3"/>
  <c r="W80" i="3" s="1"/>
  <c r="W78" i="3"/>
  <c r="X73" i="3"/>
  <c r="X72" i="3"/>
  <c r="X71" i="3"/>
  <c r="D68" i="3"/>
  <c r="E67" i="3"/>
  <c r="E66" i="3"/>
  <c r="D56" i="3"/>
  <c r="W83" i="3" s="1"/>
  <c r="D55" i="3"/>
  <c r="C55" i="3"/>
  <c r="D54" i="3"/>
  <c r="B101" i="3" s="1"/>
  <c r="F44" i="3"/>
  <c r="D43" i="3"/>
  <c r="D42" i="3"/>
  <c r="D36" i="3"/>
  <c r="V30" i="3"/>
  <c r="V31" i="3" s="1"/>
  <c r="V29" i="3"/>
  <c r="H21" i="3"/>
  <c r="T16" i="3"/>
  <c r="T18" i="3" s="1"/>
  <c r="T20" i="3" s="1"/>
  <c r="T16" i="1"/>
  <c r="L39" i="1" s="1"/>
  <c r="H9" i="1"/>
  <c r="V30" i="1"/>
  <c r="V31" i="1" s="1"/>
  <c r="T43" i="1"/>
  <c r="D32" i="1" s="1"/>
  <c r="T42" i="1"/>
  <c r="B32" i="1" s="1"/>
  <c r="AC62" i="1"/>
  <c r="D41" i="1" s="1"/>
  <c r="AC61" i="1"/>
  <c r="D40" i="1" s="1"/>
  <c r="AC64" i="1"/>
  <c r="B80" i="1"/>
  <c r="B81" i="1"/>
  <c r="B84" i="1"/>
  <c r="B93" i="1" s="1"/>
  <c r="C53" i="1"/>
  <c r="B89" i="1" s="1"/>
  <c r="D53" i="1"/>
  <c r="B90" i="1" s="1"/>
  <c r="D43" i="1"/>
  <c r="W69" i="1" s="1"/>
  <c r="T59" i="1"/>
  <c r="U61" i="1" s="1"/>
  <c r="D57" i="1"/>
  <c r="D56" i="1"/>
  <c r="C54" i="1"/>
  <c r="B100" i="1" s="1"/>
  <c r="D54" i="1"/>
  <c r="D21" i="1"/>
  <c r="F21" i="1"/>
  <c r="H21" i="1"/>
  <c r="D22" i="1"/>
  <c r="F22" i="1"/>
  <c r="T47" i="1"/>
  <c r="T46" i="1" s="1"/>
  <c r="T29" i="1"/>
  <c r="V29" i="1"/>
  <c r="D36" i="1"/>
  <c r="D42" i="1"/>
  <c r="F47" i="1" s="1"/>
  <c r="V47" i="1"/>
  <c r="V48" i="1"/>
  <c r="V49" i="1"/>
  <c r="C55" i="1"/>
  <c r="D55" i="1"/>
  <c r="E55" i="1" s="1"/>
  <c r="D58" i="1"/>
  <c r="B104" i="1" s="1"/>
  <c r="AC63" i="1"/>
  <c r="E66" i="1"/>
  <c r="E67" i="1"/>
  <c r="D68" i="1"/>
  <c r="X71" i="1"/>
  <c r="X72" i="1"/>
  <c r="X73" i="1"/>
  <c r="W87" i="1"/>
  <c r="W78" i="1"/>
  <c r="W79" i="1"/>
  <c r="W80" i="1"/>
  <c r="G24" i="1" l="1"/>
  <c r="T19" i="3"/>
  <c r="W83" i="1"/>
  <c r="D69" i="1"/>
  <c r="H18" i="1" s="1"/>
  <c r="M69" i="1"/>
  <c r="N69" i="1" s="1"/>
  <c r="M53" i="1"/>
  <c r="N53" i="1" s="1"/>
  <c r="M68" i="1"/>
  <c r="N68" i="1" s="1"/>
  <c r="M52" i="1"/>
  <c r="N52" i="1" s="1"/>
  <c r="M51" i="1"/>
  <c r="N51" i="1" s="1"/>
  <c r="M65" i="1"/>
  <c r="N65" i="1" s="1"/>
  <c r="M49" i="1"/>
  <c r="N49" i="1" s="1"/>
  <c r="M64" i="1"/>
  <c r="N64" i="1" s="1"/>
  <c r="M71" i="1"/>
  <c r="N71" i="1" s="1"/>
  <c r="M63" i="1"/>
  <c r="N63" i="1" s="1"/>
  <c r="M55" i="1"/>
  <c r="N55" i="1" s="1"/>
  <c r="M47" i="1"/>
  <c r="N47" i="1" s="1"/>
  <c r="M61" i="1"/>
  <c r="N61" i="1" s="1"/>
  <c r="M60" i="1"/>
  <c r="N60" i="1" s="1"/>
  <c r="M67" i="1"/>
  <c r="N67" i="1" s="1"/>
  <c r="M59" i="1"/>
  <c r="N59" i="1" s="1"/>
  <c r="M66" i="1"/>
  <c r="N66" i="1" s="1"/>
  <c r="M50" i="1"/>
  <c r="N50" i="1" s="1"/>
  <c r="M57" i="1"/>
  <c r="N57" i="1" s="1"/>
  <c r="M56" i="1"/>
  <c r="N56" i="1" s="1"/>
  <c r="M48" i="1"/>
  <c r="N48" i="1" s="1"/>
  <c r="M70" i="1"/>
  <c r="N70" i="1" s="1"/>
  <c r="M62" i="1"/>
  <c r="N62" i="1" s="1"/>
  <c r="M54" i="1"/>
  <c r="N54" i="1" s="1"/>
  <c r="N46" i="3"/>
  <c r="M46" i="1" s="1"/>
  <c r="N46" i="1" s="1"/>
  <c r="D16" i="1"/>
  <c r="D64" i="1"/>
  <c r="T46" i="3"/>
  <c r="T29" i="3"/>
  <c r="R55" i="3"/>
  <c r="R58" i="3"/>
  <c r="T17" i="3"/>
  <c r="T21" i="3" s="1"/>
  <c r="T22" i="3" s="1"/>
  <c r="T23" i="3" s="1"/>
  <c r="V63" i="3" s="1"/>
  <c r="R56" i="3"/>
  <c r="C53" i="3"/>
  <c r="B89" i="3" s="1"/>
  <c r="U61" i="3"/>
  <c r="D64" i="3"/>
  <c r="D58" i="3"/>
  <c r="B104" i="3" s="1"/>
  <c r="G23" i="3"/>
  <c r="AC64" i="3"/>
  <c r="T43" i="3"/>
  <c r="D32" i="3" s="1"/>
  <c r="F80" i="3"/>
  <c r="F22" i="3"/>
  <c r="F81" i="3"/>
  <c r="H9" i="3"/>
  <c r="C54" i="3"/>
  <c r="B100" i="3" s="1"/>
  <c r="F100" i="3" s="1"/>
  <c r="F47" i="3"/>
  <c r="AC63" i="3"/>
  <c r="D53" i="3"/>
  <c r="T27" i="3"/>
  <c r="T42" i="3"/>
  <c r="B32" i="3" s="1"/>
  <c r="F21" i="3"/>
  <c r="G24" i="3"/>
  <c r="D22" i="3"/>
  <c r="AC61" i="3"/>
  <c r="D21" i="3"/>
  <c r="E55" i="3"/>
  <c r="W69" i="3"/>
  <c r="F42" i="3"/>
  <c r="F48" i="3"/>
  <c r="V35" i="3"/>
  <c r="V40" i="3" s="1"/>
  <c r="V35" i="1"/>
  <c r="V40" i="1" s="1"/>
  <c r="AC58" i="1"/>
  <c r="W70" i="1"/>
  <c r="W72" i="1" s="1"/>
  <c r="X69" i="1" s="1"/>
  <c r="F43" i="1" s="1"/>
  <c r="F80" i="1"/>
  <c r="E25" i="1"/>
  <c r="E54" i="1"/>
  <c r="D63" i="1" s="1"/>
  <c r="T73" i="1"/>
  <c r="T84" i="1" s="1"/>
  <c r="E53" i="1"/>
  <c r="D65" i="1" s="1"/>
  <c r="G23" i="1"/>
  <c r="A25" i="1"/>
  <c r="F90" i="1"/>
  <c r="F89" i="1"/>
  <c r="H22" i="1"/>
  <c r="F81" i="1"/>
  <c r="AC65" i="1"/>
  <c r="F48" i="1"/>
  <c r="F42" i="1"/>
  <c r="V61" i="1" s="1"/>
  <c r="T62" i="1" s="1"/>
  <c r="F46" i="1" s="1"/>
  <c r="B101" i="1"/>
  <c r="F100" i="1" s="1"/>
  <c r="T76" i="1"/>
  <c r="D61" i="1" s="1"/>
  <c r="B102" i="1" s="1"/>
  <c r="W71" i="1" l="1"/>
  <c r="E54" i="3"/>
  <c r="D63" i="3" s="1"/>
  <c r="N45" i="3"/>
  <c r="T76" i="3"/>
  <c r="D61" i="3" s="1"/>
  <c r="B102" i="3" s="1"/>
  <c r="T73" i="3"/>
  <c r="V61" i="3"/>
  <c r="T62" i="3" s="1"/>
  <c r="R63" i="3"/>
  <c r="R64" i="3" s="1"/>
  <c r="W70" i="3"/>
  <c r="W72" i="3" s="1"/>
  <c r="X69" i="3" s="1"/>
  <c r="F101" i="3"/>
  <c r="H22" i="3"/>
  <c r="AC65" i="3"/>
  <c r="E12" i="3" s="1"/>
  <c r="E25" i="3"/>
  <c r="B90" i="3"/>
  <c r="F89" i="3" s="1"/>
  <c r="D69" i="3"/>
  <c r="H18" i="3" s="1"/>
  <c r="E53" i="3"/>
  <c r="D65" i="3" s="1"/>
  <c r="D16" i="3"/>
  <c r="T30" i="3" s="1"/>
  <c r="AC58" i="3"/>
  <c r="A25" i="3"/>
  <c r="D40" i="3"/>
  <c r="W73" i="1"/>
  <c r="U63" i="1" s="1"/>
  <c r="T83" i="1"/>
  <c r="T74" i="1" s="1"/>
  <c r="T75" i="1" s="1"/>
  <c r="D23" i="1"/>
  <c r="T30" i="1"/>
  <c r="F101" i="1"/>
  <c r="F102" i="1" s="1"/>
  <c r="F103" i="1" s="1"/>
  <c r="B106" i="1" s="1"/>
  <c r="D62" i="1" s="1"/>
  <c r="T40" i="1"/>
  <c r="D24" i="1"/>
  <c r="C33" i="1"/>
  <c r="E12" i="1"/>
  <c r="C15" i="1"/>
  <c r="U62" i="1" l="1"/>
  <c r="T61" i="1" s="1"/>
  <c r="D46" i="1" s="1"/>
  <c r="G18" i="1" s="1"/>
  <c r="M45" i="1"/>
  <c r="N45" i="1" s="1"/>
  <c r="N43" i="3"/>
  <c r="M43" i="1" s="1"/>
  <c r="N43" i="1" s="1"/>
  <c r="N44" i="3"/>
  <c r="V27" i="1"/>
  <c r="D66" i="1" s="1"/>
  <c r="B91" i="1" s="1"/>
  <c r="F91" i="1" s="1"/>
  <c r="F92" i="1" s="1"/>
  <c r="B95" i="1" s="1"/>
  <c r="D67" i="1" s="1"/>
  <c r="F17" i="1" s="1"/>
  <c r="F102" i="3"/>
  <c r="F103" i="3" s="1"/>
  <c r="B106" i="3" s="1"/>
  <c r="D62" i="3" s="1"/>
  <c r="T55" i="3"/>
  <c r="X63" i="3"/>
  <c r="W71" i="3"/>
  <c r="F43" i="3"/>
  <c r="C15" i="3"/>
  <c r="F90" i="3"/>
  <c r="C33" i="3"/>
  <c r="T40" i="3"/>
  <c r="D23" i="3"/>
  <c r="T84" i="3"/>
  <c r="T74" i="3" s="1"/>
  <c r="T75" i="3" s="1"/>
  <c r="T83" i="3"/>
  <c r="D24" i="3"/>
  <c r="W73" i="3"/>
  <c r="U63" i="3" s="1"/>
  <c r="T56" i="3"/>
  <c r="T57" i="3"/>
  <c r="F34" i="3" s="1"/>
  <c r="T58" i="3"/>
  <c r="T69" i="1"/>
  <c r="T56" i="1"/>
  <c r="T55" i="1"/>
  <c r="T58" i="1"/>
  <c r="T57" i="1"/>
  <c r="M44" i="1" l="1"/>
  <c r="N44" i="1" s="1"/>
  <c r="N42" i="3"/>
  <c r="R33" i="1"/>
  <c r="T31" i="3"/>
  <c r="T70" i="1"/>
  <c r="D47" i="1" s="1"/>
  <c r="D45" i="1"/>
  <c r="U62" i="3"/>
  <c r="T69" i="3"/>
  <c r="T71" i="3" s="1"/>
  <c r="F34" i="1"/>
  <c r="R37" i="1"/>
  <c r="U55" i="3"/>
  <c r="U57" i="3"/>
  <c r="R35" i="3"/>
  <c r="R36" i="3" s="1"/>
  <c r="R31" i="3"/>
  <c r="R32" i="3" s="1"/>
  <c r="U56" i="3"/>
  <c r="V27" i="3"/>
  <c r="D66" i="3" s="1"/>
  <c r="B91" i="3" s="1"/>
  <c r="F91" i="3" s="1"/>
  <c r="F92" i="3" s="1"/>
  <c r="B95" i="3" s="1"/>
  <c r="D67" i="3" s="1"/>
  <c r="F17" i="3" s="1"/>
  <c r="R33" i="3"/>
  <c r="T71" i="1"/>
  <c r="R35" i="1"/>
  <c r="R36" i="1" s="1"/>
  <c r="R31" i="1"/>
  <c r="R32" i="1" s="1"/>
  <c r="T31" i="1"/>
  <c r="U56" i="1"/>
  <c r="U57" i="1"/>
  <c r="U55" i="1"/>
  <c r="M42" i="1" l="1"/>
  <c r="N42" i="1" s="1"/>
  <c r="X30" i="3"/>
  <c r="L38" i="3"/>
  <c r="D17" i="3"/>
  <c r="L39" i="3" s="1"/>
  <c r="L38" i="1"/>
  <c r="D34" i="1"/>
  <c r="D45" i="3"/>
  <c r="T70" i="3"/>
  <c r="D47" i="3" s="1"/>
  <c r="T61" i="3"/>
  <c r="T64" i="3" s="1"/>
  <c r="T33" i="3"/>
  <c r="D27" i="3"/>
  <c r="B82" i="3" s="1"/>
  <c r="F82" i="3" s="1"/>
  <c r="F83" i="3" s="1"/>
  <c r="B86" i="3" s="1"/>
  <c r="T35" i="3"/>
  <c r="D34" i="3"/>
  <c r="T35" i="1"/>
  <c r="D37" i="1" s="1"/>
  <c r="D27" i="1"/>
  <c r="B82" i="1" s="1"/>
  <c r="F82" i="1" s="1"/>
  <c r="F83" i="1" s="1"/>
  <c r="B86" i="1" s="1"/>
  <c r="D17" i="1" s="1"/>
  <c r="T33" i="1"/>
  <c r="X30" i="1"/>
  <c r="X29" i="3" l="1"/>
  <c r="Y29" i="3" s="1"/>
  <c r="L41" i="1"/>
  <c r="X29" i="1"/>
  <c r="X28" i="3" s="1"/>
  <c r="T65" i="3"/>
  <c r="F46" i="3"/>
  <c r="D46" i="3"/>
  <c r="G18" i="3" s="1"/>
  <c r="V32" i="1"/>
  <c r="L41" i="3"/>
  <c r="E37" i="3"/>
  <c r="D37" i="3"/>
  <c r="V32" i="3"/>
  <c r="D35" i="3" s="1"/>
  <c r="V45" i="3" s="1"/>
  <c r="V46" i="3" s="1"/>
  <c r="E37" i="1"/>
  <c r="K18" i="3" l="1"/>
  <c r="L18" i="3" s="1"/>
  <c r="M41" i="3"/>
  <c r="X45" i="3"/>
  <c r="F36" i="3"/>
  <c r="F35" i="3"/>
  <c r="D35" i="1"/>
  <c r="V45" i="1" s="1"/>
  <c r="D44" i="1"/>
  <c r="F44" i="1" s="1"/>
  <c r="V49" i="3"/>
  <c r="V48" i="3"/>
  <c r="V47" i="3"/>
  <c r="F35" i="1"/>
  <c r="T37" i="3"/>
  <c r="T36" i="3"/>
  <c r="F36" i="1"/>
  <c r="T36" i="1"/>
  <c r="T37" i="1"/>
  <c r="X45" i="1"/>
</calcChain>
</file>

<file path=xl/sharedStrings.xml><?xml version="1.0" encoding="utf-8"?>
<sst xmlns="http://schemas.openxmlformats.org/spreadsheetml/2006/main" count="2043" uniqueCount="558">
  <si>
    <t>NUCLEAR REACTION ANALYSIS</t>
  </si>
  <si>
    <t>ENTER VALUES OF DESIRED REACTION IN SHADED CELLS</t>
  </si>
  <si>
    <t>x</t>
  </si>
  <si>
    <t>X</t>
  </si>
  <si>
    <t>ENTER EXCITED STATE E LEVEL FOR NON-GROUND STATE REACTIONS</t>
  </si>
  <si>
    <t>IBA INPUT GRID</t>
  </si>
  <si>
    <t>Z</t>
  </si>
  <si>
    <t>M</t>
  </si>
  <si>
    <t>TARGET MATRIX GRID</t>
  </si>
  <si>
    <t>Mass in amu, Energy in MeV.</t>
  </si>
  <si>
    <t>Projectile=</t>
  </si>
  <si>
    <t>Zmatrix=</t>
  </si>
  <si>
    <t xml:space="preserve"> </t>
  </si>
  <si>
    <t>Z1,M1=incident atomic #(zI), mass(mI)</t>
  </si>
  <si>
    <t>Target=</t>
  </si>
  <si>
    <t>Mmatrix=</t>
  </si>
  <si>
    <t>Z2,M2=target atomic #(zT), mass(mT)</t>
  </si>
  <si>
    <t>Reaction Product=</t>
  </si>
  <si>
    <t>Z3,M3=detected reaction particle atomic #(zD),mass(mD)</t>
  </si>
  <si>
    <t>Incident Energy=</t>
  </si>
  <si>
    <t>MeV</t>
  </si>
  <si>
    <t>Z4,M4=residual atomic #(zR),mass(mR)</t>
  </si>
  <si>
    <t>Detector Angle=</t>
  </si>
  <si>
    <t>degrees</t>
  </si>
  <si>
    <t>Mylar thicknes=</t>
  </si>
  <si>
    <t>microns</t>
  </si>
  <si>
    <t>Excited state E=</t>
  </si>
  <si>
    <t>NUCLEAR REACTION ANALYSIS INFORMATION</t>
  </si>
  <si>
    <t>Reaction</t>
  </si>
  <si>
    <t>Q-Value</t>
  </si>
  <si>
    <t>Matrix</t>
  </si>
  <si>
    <t>Detected Energy (Ed)</t>
  </si>
  <si>
    <t>RBS</t>
  </si>
  <si>
    <t>ERD</t>
  </si>
  <si>
    <t xml:space="preserve">Rutherford Cross Section </t>
  </si>
  <si>
    <t>b/sr</t>
  </si>
  <si>
    <t>REACTION CALCULATIONS CHECKS AND INFORMATION</t>
  </si>
  <si>
    <t>Mass of comp nucl.=</t>
  </si>
  <si>
    <t>M1=</t>
  </si>
  <si>
    <t>M2=</t>
  </si>
  <si>
    <t>Compound Nucleus</t>
  </si>
  <si>
    <t>M3=</t>
  </si>
  <si>
    <t>M4=</t>
  </si>
  <si>
    <t>E of Compound Nucl.=</t>
  </si>
  <si>
    <t xml:space="preserve">MeV </t>
  </si>
  <si>
    <t>Eo(cm)=</t>
  </si>
  <si>
    <t>delta=</t>
  </si>
  <si>
    <t>Threshold =</t>
  </si>
  <si>
    <t>E(coulomb)=</t>
  </si>
  <si>
    <t>macro for angle scans</t>
  </si>
  <si>
    <t>macro for energy scans</t>
  </si>
  <si>
    <t>Emitted Energy (E3)</t>
  </si>
  <si>
    <t>mumat</t>
  </si>
  <si>
    <t>kmat</t>
  </si>
  <si>
    <t>RESIDUAL SPECIES INFORMATION</t>
  </si>
  <si>
    <t>(lab)</t>
  </si>
  <si>
    <t>(c.m.)</t>
  </si>
  <si>
    <t>Z4=</t>
  </si>
  <si>
    <t>Reaction particle angle</t>
  </si>
  <si>
    <t>Species=</t>
  </si>
  <si>
    <t>Residual Energy=</t>
  </si>
  <si>
    <t>mu</t>
  </si>
  <si>
    <t>psi</t>
  </si>
  <si>
    <t>cm angle</t>
  </si>
  <si>
    <t>Residual angle=</t>
  </si>
  <si>
    <t>deg.</t>
  </si>
  <si>
    <t>deg</t>
  </si>
  <si>
    <t>etotal</t>
  </si>
  <si>
    <t>psirad</t>
  </si>
  <si>
    <t>Detector angle=</t>
  </si>
  <si>
    <t>energy3</t>
  </si>
  <si>
    <t>cospsi</t>
  </si>
  <si>
    <t>Detected energy=</t>
  </si>
  <si>
    <t>energy4</t>
  </si>
  <si>
    <t>sinpsi</t>
  </si>
  <si>
    <t>qvalue</t>
  </si>
  <si>
    <t>sinpsi2</t>
  </si>
  <si>
    <t>RBS INFORMATION</t>
  </si>
  <si>
    <t>Scattered Particle</t>
  </si>
  <si>
    <t>Target Atom</t>
  </si>
  <si>
    <t>deltaZ</t>
  </si>
  <si>
    <t>Scattering Angle=</t>
  </si>
  <si>
    <t>deltaM</t>
  </si>
  <si>
    <t>Recoil Angle=</t>
  </si>
  <si>
    <t>Residual Particle angle</t>
  </si>
  <si>
    <t>K factor=</t>
  </si>
  <si>
    <t>total system</t>
  </si>
  <si>
    <t>zeta</t>
  </si>
  <si>
    <t>Rutherford xsection=</t>
  </si>
  <si>
    <t>mb/sr</t>
  </si>
  <si>
    <t>energy [MeV]=</t>
  </si>
  <si>
    <t>zetarad</t>
  </si>
  <si>
    <t>Scattered Energy=</t>
  </si>
  <si>
    <t>E1[cm frame]=</t>
  </si>
  <si>
    <t>coszeta</t>
  </si>
  <si>
    <t>Recoil Energy=</t>
  </si>
  <si>
    <t>sinzeta</t>
  </si>
  <si>
    <t>sinzeta2</t>
  </si>
  <si>
    <t>ERD INPUT VALUES GRID</t>
  </si>
  <si>
    <t>Atomic#</t>
  </si>
  <si>
    <t>Species</t>
  </si>
  <si>
    <t>Incident Ion</t>
  </si>
  <si>
    <t>NRA Calculations</t>
  </si>
  <si>
    <t>Recoil Atom</t>
  </si>
  <si>
    <t>Green book coefficients</t>
  </si>
  <si>
    <t>Substrate</t>
  </si>
  <si>
    <t>A</t>
  </si>
  <si>
    <t>_x001B_AC</t>
  </si>
  <si>
    <t>B</t>
  </si>
  <si>
    <t>_x001B_BD</t>
  </si>
  <si>
    <t>C</t>
  </si>
  <si>
    <t>_x001B_Sum</t>
  </si>
  <si>
    <t>D</t>
  </si>
  <si>
    <t>RXN</t>
  </si>
  <si>
    <t>esqrd</t>
  </si>
  <si>
    <t>MeV cm</t>
  </si>
  <si>
    <t>ERD INFORMATION</t>
  </si>
  <si>
    <t>GAMMA</t>
  </si>
  <si>
    <t>g-ray</t>
  </si>
  <si>
    <t>Rutherford</t>
  </si>
  <si>
    <t>dsigma</t>
  </si>
  <si>
    <t>INCIDENT</t>
  </si>
  <si>
    <t>Detected Energy=</t>
  </si>
  <si>
    <t>Mev</t>
  </si>
  <si>
    <t>cmsigma</t>
  </si>
  <si>
    <t>TARGET</t>
  </si>
  <si>
    <t>3He(3He,2p)a Q value</t>
  </si>
  <si>
    <t>Recoiled Particle</t>
  </si>
  <si>
    <t>COMPOUND</t>
  </si>
  <si>
    <t>DETECTED</t>
  </si>
  <si>
    <t>RESIDUAL</t>
  </si>
  <si>
    <t>mtable</t>
  </si>
  <si>
    <t>scatt energy after foil=</t>
  </si>
  <si>
    <t>lab</t>
  </si>
  <si>
    <t>c.m.</t>
  </si>
  <si>
    <t>Z_x001A_</t>
  </si>
  <si>
    <t>Max. Scat. Angle=</t>
  </si>
  <si>
    <t>RBS Scattering angle</t>
  </si>
  <si>
    <t>_x001F_M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</si>
  <si>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</si>
  <si>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</si>
  <si>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</si>
  <si>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</si>
  <si>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</si>
  <si>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</si>
  <si>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</si>
  <si>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</si>
  <si>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</si>
  <si>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</si>
  <si>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</si>
  <si>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</si>
  <si>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</si>
  <si>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</si>
  <si>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</si>
  <si>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</si>
  <si>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</si>
  <si>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</si>
  <si>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</si>
  <si>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</si>
  <si>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</si>
  <si>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</si>
  <si>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</si>
  <si>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</si>
  <si>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</si>
  <si>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</si>
  <si>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</si>
  <si>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</si>
  <si>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</si>
  <si>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</si>
  <si>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</si>
  <si>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</si>
  <si>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</si>
  <si>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</si>
  <si>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</si>
  <si>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</si>
  <si>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</si>
  <si>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</si>
  <si>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</si>
  <si>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</si>
  <si>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</si>
  <si>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</si>
  <si>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</si>
  <si>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</si>
  <si>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</si>
  <si>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</si>
  <si>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</si>
  <si>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</si>
  <si>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</si>
  <si>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</si>
  <si>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</si>
  <si>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</si>
  <si>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</si>
  <si>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</si>
  <si>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</si>
  <si>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</si>
  <si>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</si>
  <si>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</si>
  <si>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</si>
  <si>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</si>
  <si>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</si>
  <si>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</si>
  <si>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</si>
  <si>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</si>
  <si>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</si>
  <si>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</si>
  <si>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</si>
  <si>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</si>
  <si>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</si>
  <si>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</si>
  <si>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</si>
  <si>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</si>
  <si>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</si>
  <si>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</si>
  <si>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</si>
  <si>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</si>
  <si>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</si>
  <si>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</si>
  <si>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</si>
  <si>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</si>
  <si>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</si>
  <si>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</si>
  <si>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</si>
  <si>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</si>
  <si>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</si>
  <si>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</si>
  <si>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</si>
  <si>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</si>
  <si>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</si>
  <si>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</si>
  <si>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</si>
  <si>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</si>
  <si>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Cross Section=</t>
  </si>
  <si>
    <t>K</t>
  </si>
  <si>
    <t>theta</t>
  </si>
  <si>
    <t>n</t>
  </si>
  <si>
    <t>H</t>
  </si>
  <si>
    <t>He</t>
  </si>
  <si>
    <t>Li</t>
  </si>
  <si>
    <t>Be</t>
  </si>
  <si>
    <t>N</t>
  </si>
  <si>
    <t>O</t>
  </si>
  <si>
    <t>F</t>
  </si>
  <si>
    <t>Ne</t>
  </si>
  <si>
    <t>Na</t>
  </si>
  <si>
    <t>Mg</t>
  </si>
  <si>
    <t>Al</t>
  </si>
  <si>
    <t>Si</t>
  </si>
  <si>
    <t>P</t>
  </si>
  <si>
    <t>S</t>
  </si>
  <si>
    <t>Cl</t>
  </si>
  <si>
    <t>Ar</t>
  </si>
  <si>
    <t>Ca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</si>
  <si>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</si>
  <si>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</si>
  <si>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</si>
  <si>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</si>
  <si>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</si>
  <si>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</si>
  <si>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</si>
  <si>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</si>
  <si>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</si>
  <si>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</si>
  <si>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Ga</t>
  </si>
  <si>
    <t>Ge</t>
  </si>
  <si>
    <t>As</t>
  </si>
  <si>
    <t>Se</t>
  </si>
  <si>
    <t>Br</t>
  </si>
  <si>
    <t>Kr</t>
  </si>
  <si>
    <t>Rb</t>
  </si>
  <si>
    <t>Sr</t>
  </si>
  <si>
    <t>Y</t>
  </si>
  <si>
    <t>Zr</t>
  </si>
  <si>
    <t>Nb</t>
  </si>
  <si>
    <t>Mo</t>
  </si>
  <si>
    <t>Tc</t>
  </si>
  <si>
    <t>Ru</t>
  </si>
  <si>
    <t>Rh</t>
  </si>
  <si>
    <t>Pd</t>
  </si>
  <si>
    <t>Ag</t>
  </si>
  <si>
    <t>Cd</t>
  </si>
  <si>
    <t>In</t>
  </si>
  <si>
    <t>Sn</t>
  </si>
  <si>
    <t>Sb</t>
  </si>
  <si>
    <t>Te</t>
  </si>
  <si>
    <t>I</t>
  </si>
  <si>
    <t>Xe</t>
  </si>
  <si>
    <t>Cs</t>
  </si>
  <si>
    <t>Ba</t>
  </si>
  <si>
    <t>La</t>
  </si>
  <si>
    <t>Ce</t>
  </si>
  <si>
    <t>Pr</t>
  </si>
  <si>
    <t>Nd</t>
  </si>
  <si>
    <t>Pm</t>
  </si>
  <si>
    <t>Sm</t>
  </si>
  <si>
    <t>Eu</t>
  </si>
  <si>
    <t>Gd</t>
  </si>
  <si>
    <t>Tb</t>
  </si>
  <si>
    <t>Dy</t>
  </si>
  <si>
    <t>Ho</t>
  </si>
  <si>
    <t>Er</t>
  </si>
  <si>
    <t>Tm</t>
  </si>
  <si>
    <t>Yb</t>
  </si>
  <si>
    <t>Lu</t>
  </si>
  <si>
    <t>Hf</t>
  </si>
  <si>
    <t>Ta</t>
  </si>
  <si>
    <t>W</t>
  </si>
  <si>
    <t>Re</t>
  </si>
  <si>
    <t>Os</t>
  </si>
  <si>
    <t>Ir</t>
  </si>
  <si>
    <t>Pt</t>
  </si>
  <si>
    <t>Au</t>
  </si>
  <si>
    <t>Hg</t>
  </si>
  <si>
    <t>Tl</t>
  </si>
  <si>
    <t>Pb</t>
  </si>
  <si>
    <t>Bi</t>
  </si>
  <si>
    <t>Po</t>
  </si>
  <si>
    <t>At</t>
  </si>
  <si>
    <t>Rn</t>
  </si>
  <si>
    <t>Fr</t>
  </si>
  <si>
    <t>Ra</t>
  </si>
  <si>
    <t>Ac</t>
  </si>
  <si>
    <t>Th</t>
  </si>
  <si>
    <t>Pa</t>
  </si>
  <si>
    <t>U</t>
  </si>
  <si>
    <t>Np</t>
  </si>
  <si>
    <t>Pu</t>
  </si>
  <si>
    <t>escatter</t>
  </si>
  <si>
    <t>thetarad</t>
  </si>
  <si>
    <t>...........................................................</t>
  </si>
  <si>
    <t>bsrecoilE</t>
  </si>
  <si>
    <t>costheta</t>
  </si>
  <si>
    <t>Mylar foil effect on detected energy</t>
  </si>
  <si>
    <t>sintheta</t>
  </si>
  <si>
    <t>erdmu</t>
  </si>
  <si>
    <t>sintheta2</t>
  </si>
  <si>
    <t>logR = mlogE + b</t>
  </si>
  <si>
    <t>erdK</t>
  </si>
  <si>
    <t>logE = (logR - b)/m</t>
  </si>
  <si>
    <t>erdescatter</t>
  </si>
  <si>
    <t>ERD Scattering angle</t>
  </si>
  <si>
    <t>erdrecoilE</t>
  </si>
  <si>
    <t>phi</t>
  </si>
  <si>
    <t>R in um -- E in MeV</t>
  </si>
  <si>
    <t>phirad</t>
  </si>
  <si>
    <t>calc</t>
  </si>
  <si>
    <t>cosphi</t>
  </si>
  <si>
    <t>input from nra</t>
  </si>
  <si>
    <t>sinphi</t>
  </si>
  <si>
    <t>m</t>
  </si>
  <si>
    <t>sinphi2</t>
  </si>
  <si>
    <t>b</t>
  </si>
  <si>
    <t>E3</t>
  </si>
  <si>
    <t>R</t>
  </si>
  <si>
    <t>um</t>
  </si>
  <si>
    <t>ERD Recoil angle</t>
  </si>
  <si>
    <t>erdk if 1</t>
  </si>
  <si>
    <t>recoilangle</t>
  </si>
  <si>
    <t>thick=</t>
  </si>
  <si>
    <t>erdk if 2</t>
  </si>
  <si>
    <t>sinrecoil</t>
  </si>
  <si>
    <t>cosrecoil2</t>
  </si>
  <si>
    <t>Ed</t>
  </si>
  <si>
    <t>MeV at MAX ANGLE</t>
  </si>
  <si>
    <t>cosrecoil</t>
  </si>
  <si>
    <t>MeV at DET. ANGLE</t>
  </si>
  <si>
    <t>sinrecoil2</t>
  </si>
  <si>
    <t>input from RBS</t>
  </si>
  <si>
    <t>input from erd</t>
  </si>
  <si>
    <t>slope=m</t>
  </si>
  <si>
    <t>z</t>
  </si>
  <si>
    <t>intercept=b</t>
  </si>
  <si>
    <t>97</t>
  </si>
  <si>
    <t>96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</si>
  <si>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</si>
  <si>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</si>
  <si>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</si>
  <si>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</si>
  <si>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</si>
  <si>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</si>
  <si>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</si>
  <si>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</si>
  <si>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</si>
  <si>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</si>
  <si>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</si>
  <si>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</si>
  <si>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</si>
  <si>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</si>
  <si>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</si>
  <si>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</si>
  <si>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</si>
  <si>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</si>
  <si>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</si>
  <si>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</si>
  <si>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</si>
  <si>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</si>
  <si>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</si>
  <si>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</si>
  <si>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</si>
  <si>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</si>
  <si>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</si>
  <si>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</si>
  <si>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</si>
  <si>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</si>
  <si>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</si>
  <si>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</si>
  <si>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</si>
  <si>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</si>
  <si>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</si>
  <si>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</si>
  <si>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</si>
  <si>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</si>
  <si>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</si>
  <si>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</si>
  <si>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</si>
  <si>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</si>
  <si>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</si>
  <si>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</si>
  <si>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</si>
  <si>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</si>
  <si>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</si>
  <si>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</si>
  <si>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</si>
  <si>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</si>
  <si>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</si>
  <si>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</si>
  <si>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</si>
  <si>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</si>
  <si>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</si>
  <si>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</si>
  <si>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</si>
  <si>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</si>
  <si>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</si>
  <si>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</si>
  <si>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</si>
  <si>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</si>
  <si>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</si>
  <si>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</si>
  <si>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</si>
  <si>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</si>
  <si>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</si>
  <si>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</si>
  <si>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</si>
  <si>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</si>
  <si>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</si>
  <si>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</si>
  <si>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</si>
  <si>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</si>
  <si>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</si>
  <si>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</si>
  <si>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</si>
  <si>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</si>
  <si>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</si>
  <si>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</si>
  <si>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</si>
  <si>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</si>
  <si>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</si>
  <si>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</si>
  <si>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</si>
  <si>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</si>
  <si>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</si>
  <si>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</si>
  <si>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</si>
  <si>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</si>
  <si>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</si>
  <si>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</si>
  <si>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</si>
  <si>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</si>
  <si>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</si>
  <si>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</si>
  <si>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</si>
  <si>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</si>
  <si>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</si>
  <si>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</si>
  <si>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</si>
  <si>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</si>
  <si>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</si>
  <si>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</si>
  <si>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</si>
  <si>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</si>
  <si>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</si>
  <si>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</si>
  <si>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</si>
  <si>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</si>
  <si>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</si>
  <si>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</si>
  <si>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</si>
  <si>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</si>
  <si>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</si>
  <si>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</si>
  <si>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</si>
  <si>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</si>
  <si>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</si>
  <si>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</si>
  <si>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</si>
  <si>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</si>
  <si>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</si>
  <si>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</si>
  <si>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</si>
  <si>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</si>
  <si>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</si>
  <si>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</si>
  <si>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</si>
  <si>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</si>
  <si>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</si>
  <si>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</si>
  <si>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</si>
  <si>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</si>
  <si>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</si>
  <si>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</si>
  <si>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</si>
  <si>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</si>
  <si>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</si>
  <si>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</si>
  <si>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</si>
  <si>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</si>
  <si>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</si>
  <si>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Vcoulomb=</t>
  </si>
  <si>
    <t>B&lt;D</t>
  </si>
  <si>
    <t>B&gt;D</t>
  </si>
  <si>
    <t>A&lt;C</t>
  </si>
  <si>
    <t>A&gt;C</t>
  </si>
  <si>
    <t>psi&lt;sin-1(C/A^.5)</t>
  </si>
  <si>
    <t>psi&lt;sin-1(D/B^.5)</t>
  </si>
  <si>
    <t>180/PI</t>
  </si>
  <si>
    <t>+</t>
  </si>
  <si>
    <t>-</t>
  </si>
  <si>
    <t>NUCLEAR REACTION ANALYSIS - primed values to invert collision</t>
  </si>
  <si>
    <t>use goal seek function to find det. angle that makes these two the same</t>
  </si>
  <si>
    <t>Cross Section Transformation Calculations</t>
  </si>
  <si>
    <t>Light ion is Projectile (primed system)</t>
  </si>
  <si>
    <t>CS trabsform to com from lab for light product (M3)</t>
  </si>
  <si>
    <t>CS3lab/CS3com=</t>
  </si>
  <si>
    <t>E(MeV)</t>
  </si>
  <si>
    <t>lab/com</t>
  </si>
  <si>
    <t>com</t>
  </si>
  <si>
    <t>ERD Calculation of COM values</t>
  </si>
  <si>
    <t>elastic=</t>
  </si>
  <si>
    <t>180 deg scat</t>
  </si>
  <si>
    <t>approx</t>
  </si>
  <si>
    <t>x=</t>
  </si>
  <si>
    <t>theta=</t>
  </si>
  <si>
    <t>sin-thetac</t>
  </si>
  <si>
    <t>sin(theta)</t>
  </si>
  <si>
    <t>cos(theta)</t>
  </si>
  <si>
    <t>thetac</t>
  </si>
  <si>
    <t>Matrix k's</t>
  </si>
  <si>
    <t>elasatic calculations</t>
  </si>
  <si>
    <t>Vcb (MV)</t>
  </si>
  <si>
    <t>En (MeV)</t>
  </si>
  <si>
    <t>from ' system</t>
  </si>
  <si>
    <t>Cross Section for inverted collision</t>
  </si>
  <si>
    <t>Heavy ion is Projectile (the experiment system)</t>
  </si>
  <si>
    <t>Input the lab cross sections from SigmaBase</t>
  </si>
  <si>
    <t>have to change the lab angle to get these com angles to be the same</t>
  </si>
  <si>
    <t>com angle in IBA tab</t>
  </si>
  <si>
    <t xml:space="preserve">com angle in primed </t>
  </si>
  <si>
    <t>ENTER VALUES OF DESIRED REACTION IN YELLOW CELLS</t>
  </si>
  <si>
    <t>works up to 19F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</si>
</sst>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General_)"/>
    <numFmt numFmtId="165" formatCode="0.000_)"/>
    <numFmt numFmtId="166" formatCode="0.0000_)"/>
    <numFmt numFmtId="167" formatCode="dd\-mmm\-yy_)"/>
    <numFmt numFmtId="168" formatCode="hh:mm\ AM/PM_)"/>
    <numFmt numFmtId="169" formatCode=";;;"/>
    <numFmt numFmtId="170" formatCode="0.00_)"/>
    <numFmt numFmtId="171" formatCode="0.00000_)"/>
    <numFmt numFmtId="172" formatCode="0.00000000_)"/>
    <numFmt numFmtId="173" formatCode="0.0_)"/>
    <numFmt numFmtId="174" formatCode="0.00E+00_)"/>
    <numFmt numFmtId="175" formatCode="0.000000000_)"/>
    <numFmt numFmtId="176" formatCode="0.0E+00_)"/>
    <numFmt numFmtId="177" formatCode="0_)"/>
    <numFmt numFmtId="178" formatCode="0.000"/>
    <numFmt numFmtId="179" formatCode="0.00000E+00"/>
  </numFmts>
  <fonts count="7" x14ac:knownFonts="1">
    <font>
      <sz val="10"/>
      <name val="Courie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Courier"/>
      <family val="3"/>
    </font>
    <font>
      <sz val="10"/>
      <color rgb="FF000000"/>
      <name val="Courier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</borders>
  <cellStyleXfs count="1">
    <xf numFmtId="164" fontId="0" fillId="0" borderId="0"/>
  </cellStyleXfs>
  <cellXfs count="126">
    <xf numFmtId="164" fontId="0" fillId="0" borderId="0" xfId="0"/>
    <xf numFmtId="164" fontId="2" fillId="0" borderId="1" xfId="0" applyFont="1" applyBorder="1" applyAlignment="1">
      <alignment horizontal="left"/>
    </xf>
    <xf numFmtId="164" fontId="3" fillId="0" borderId="0" xfId="0" applyFont="1" applyAlignment="1" applyProtection="1">
      <alignment horizontal="left"/>
    </xf>
    <xf numFmtId="165" fontId="3" fillId="0" borderId="0" xfId="0" applyNumberFormat="1" applyFont="1" applyAlignment="1" applyProtection="1">
      <alignment horizontal="left"/>
    </xf>
    <xf numFmtId="164" fontId="3" fillId="0" borderId="2" xfId="0" applyFont="1" applyBorder="1" applyAlignment="1" applyProtection="1">
      <alignment horizontal="left"/>
    </xf>
    <xf numFmtId="164" fontId="3" fillId="0" borderId="3" xfId="0" applyFont="1" applyBorder="1" applyAlignment="1" applyProtection="1">
      <alignment horizontal="left"/>
    </xf>
    <xf numFmtId="164" fontId="3" fillId="0" borderId="4" xfId="0" applyFont="1" applyBorder="1" applyAlignment="1" applyProtection="1">
      <alignment horizontal="left"/>
    </xf>
    <xf numFmtId="164" fontId="3" fillId="0" borderId="5" xfId="0" applyFont="1" applyBorder="1" applyAlignment="1" applyProtection="1">
      <alignment horizontal="left"/>
    </xf>
    <xf numFmtId="164" fontId="3" fillId="0" borderId="0" xfId="0" applyFont="1" applyAlignment="1">
      <alignment horizontal="left"/>
    </xf>
    <xf numFmtId="164" fontId="3" fillId="0" borderId="6" xfId="0" applyFont="1" applyBorder="1" applyAlignment="1" applyProtection="1">
      <alignment horizontal="left"/>
    </xf>
    <xf numFmtId="164" fontId="3" fillId="0" borderId="4" xfId="0" applyFont="1" applyBorder="1"/>
    <xf numFmtId="164" fontId="3" fillId="0" borderId="7" xfId="0" applyFont="1" applyBorder="1" applyAlignment="1" applyProtection="1">
      <alignment horizontal="left"/>
    </xf>
    <xf numFmtId="164" fontId="3" fillId="0" borderId="0" xfId="0" applyFont="1"/>
    <xf numFmtId="164" fontId="4" fillId="0" borderId="1" xfId="0" applyFont="1" applyBorder="1"/>
    <xf numFmtId="164" fontId="4" fillId="0" borderId="0" xfId="0" applyFont="1" applyAlignment="1">
      <alignment horizontal="left"/>
    </xf>
    <xf numFmtId="164" fontId="4" fillId="0" borderId="0" xfId="0" applyFont="1"/>
    <xf numFmtId="164" fontId="4" fillId="0" borderId="0" xfId="0" applyFont="1" applyAlignment="1" applyProtection="1">
      <alignment horizontal="right"/>
    </xf>
    <xf numFmtId="164" fontId="4" fillId="0" borderId="8" xfId="0" applyFont="1" applyBorder="1"/>
    <xf numFmtId="164" fontId="3" fillId="0" borderId="8" xfId="0" applyFont="1" applyBorder="1" applyAlignment="1">
      <alignment horizontal="right"/>
    </xf>
    <xf numFmtId="164" fontId="3" fillId="0" borderId="9" xfId="0" applyFont="1" applyBorder="1" applyAlignment="1">
      <alignment horizontal="right"/>
    </xf>
    <xf numFmtId="164" fontId="3" fillId="0" borderId="2" xfId="0" applyFont="1" applyBorder="1"/>
    <xf numFmtId="164" fontId="4" fillId="0" borderId="9" xfId="0" applyFont="1" applyBorder="1"/>
    <xf numFmtId="164" fontId="4" fillId="0" borderId="10" xfId="0" applyFont="1" applyBorder="1"/>
    <xf numFmtId="164" fontId="4" fillId="0" borderId="0" xfId="0" applyFont="1" applyAlignment="1" applyProtection="1">
      <alignment horizontal="left"/>
    </xf>
    <xf numFmtId="164" fontId="3" fillId="0" borderId="3" xfId="0" applyFont="1" applyBorder="1"/>
    <xf numFmtId="164" fontId="4" fillId="0" borderId="11" xfId="0" applyFont="1" applyBorder="1"/>
    <xf numFmtId="164" fontId="4" fillId="0" borderId="0" xfId="0" applyFont="1" applyBorder="1"/>
    <xf numFmtId="164" fontId="4" fillId="0" borderId="0" xfId="0" applyFont="1" applyProtection="1"/>
    <xf numFmtId="164" fontId="4" fillId="0" borderId="12" xfId="0" applyFont="1" applyBorder="1"/>
    <xf numFmtId="164" fontId="4" fillId="0" borderId="13" xfId="0" applyFont="1" applyBorder="1"/>
    <xf numFmtId="164" fontId="4" fillId="0" borderId="11" xfId="0" applyFont="1" applyBorder="1" applyProtection="1"/>
    <xf numFmtId="164" fontId="4" fillId="0" borderId="14" xfId="0" applyFont="1" applyBorder="1"/>
    <xf numFmtId="164" fontId="4" fillId="0" borderId="11" xfId="0" applyFont="1" applyBorder="1" applyAlignment="1">
      <alignment horizontal="left"/>
    </xf>
    <xf numFmtId="165" fontId="4" fillId="0" borderId="15" xfId="0" applyNumberFormat="1" applyFont="1" applyBorder="1" applyProtection="1"/>
    <xf numFmtId="164" fontId="4" fillId="0" borderId="16" xfId="0" applyFont="1" applyBorder="1" applyAlignment="1" applyProtection="1">
      <alignment horizontal="left"/>
    </xf>
    <xf numFmtId="164" fontId="3" fillId="0" borderId="0" xfId="0" applyFont="1" applyBorder="1" applyAlignment="1">
      <alignment horizontal="right"/>
    </xf>
    <xf numFmtId="165" fontId="4" fillId="0" borderId="17" xfId="0" applyNumberFormat="1" applyFont="1" applyBorder="1" applyProtection="1"/>
    <xf numFmtId="164" fontId="4" fillId="0" borderId="18" xfId="0" applyFont="1" applyBorder="1" applyAlignment="1" applyProtection="1">
      <alignment horizontal="left"/>
    </xf>
    <xf numFmtId="178" fontId="4" fillId="0" borderId="19" xfId="0" applyNumberFormat="1" applyFont="1" applyBorder="1" applyAlignment="1">
      <alignment horizontal="right"/>
    </xf>
    <xf numFmtId="2" fontId="3" fillId="0" borderId="0" xfId="0" applyNumberFormat="1" applyFont="1" applyBorder="1" applyAlignment="1">
      <alignment horizontal="right"/>
    </xf>
    <xf numFmtId="2" fontId="4" fillId="0" borderId="1" xfId="0" applyNumberFormat="1" applyFont="1" applyBorder="1" applyAlignment="1">
      <alignment horizontal="left"/>
    </xf>
    <xf numFmtId="164" fontId="4" fillId="0" borderId="20" xfId="0" applyFont="1" applyBorder="1"/>
    <xf numFmtId="165" fontId="4" fillId="0" borderId="0" xfId="0" applyNumberFormat="1" applyFont="1" applyProtection="1"/>
    <xf numFmtId="166" fontId="4" fillId="0" borderId="0" xfId="0" applyNumberFormat="1" applyFont="1" applyProtection="1"/>
    <xf numFmtId="165" fontId="4" fillId="0" borderId="21" xfId="0" applyNumberFormat="1" applyFont="1" applyBorder="1" applyProtection="1"/>
    <xf numFmtId="164" fontId="4" fillId="0" borderId="22" xfId="0" applyFont="1" applyBorder="1" applyAlignment="1" applyProtection="1">
      <alignment horizontal="left"/>
    </xf>
    <xf numFmtId="167" fontId="4" fillId="0" borderId="0" xfId="0" applyNumberFormat="1" applyFont="1" applyProtection="1"/>
    <xf numFmtId="164" fontId="4" fillId="0" borderId="0" xfId="0" applyNumberFormat="1" applyFont="1" applyProtection="1"/>
    <xf numFmtId="168" fontId="4" fillId="0" borderId="0" xfId="0" applyNumberFormat="1" applyFont="1" applyProtection="1"/>
    <xf numFmtId="165" fontId="4" fillId="0" borderId="0" xfId="0" applyNumberFormat="1" applyFont="1" applyAlignment="1" applyProtection="1">
      <alignment horizontal="left"/>
    </xf>
    <xf numFmtId="170" fontId="4" fillId="0" borderId="0" xfId="0" applyNumberFormat="1" applyFont="1" applyProtection="1"/>
    <xf numFmtId="170" fontId="4" fillId="0" borderId="0" xfId="0" applyNumberFormat="1" applyFont="1" applyAlignment="1" applyProtection="1">
      <alignment horizontal="left"/>
    </xf>
    <xf numFmtId="171" fontId="4" fillId="0" borderId="0" xfId="0" applyNumberFormat="1" applyFont="1" applyProtection="1"/>
    <xf numFmtId="172" fontId="4" fillId="0" borderId="0" xfId="0" applyNumberFormat="1" applyFont="1" applyProtection="1"/>
    <xf numFmtId="173" fontId="4" fillId="0" borderId="0" xfId="0" applyNumberFormat="1" applyFont="1" applyProtection="1"/>
    <xf numFmtId="174" fontId="4" fillId="0" borderId="0" xfId="0" applyNumberFormat="1" applyFont="1" applyProtection="1"/>
    <xf numFmtId="171" fontId="4" fillId="0" borderId="0" xfId="0" applyNumberFormat="1" applyFont="1" applyAlignment="1" applyProtection="1">
      <alignment horizontal="right"/>
    </xf>
    <xf numFmtId="165" fontId="4" fillId="0" borderId="0" xfId="0" applyNumberFormat="1" applyFont="1" applyAlignment="1" applyProtection="1">
      <alignment horizontal="right"/>
    </xf>
    <xf numFmtId="175" fontId="4" fillId="0" borderId="0" xfId="0" applyNumberFormat="1" applyFont="1" applyProtection="1"/>
    <xf numFmtId="177" fontId="4" fillId="0" borderId="0" xfId="0" applyNumberFormat="1" applyFont="1" applyAlignment="1" applyProtection="1">
      <alignment horizontal="right"/>
    </xf>
    <xf numFmtId="177" fontId="4" fillId="0" borderId="0" xfId="0" applyNumberFormat="1" applyFont="1" applyProtection="1"/>
    <xf numFmtId="11" fontId="4" fillId="0" borderId="19" xfId="0" applyNumberFormat="1" applyFont="1" applyBorder="1"/>
    <xf numFmtId="164" fontId="4" fillId="2" borderId="0" xfId="0" applyFont="1" applyFill="1" applyBorder="1" applyProtection="1"/>
    <xf numFmtId="164" fontId="4" fillId="2" borderId="10" xfId="0" applyFont="1" applyFill="1" applyBorder="1" applyProtection="1"/>
    <xf numFmtId="164" fontId="4" fillId="2" borderId="1" xfId="0" applyFont="1" applyFill="1" applyBorder="1" applyProtection="1"/>
    <xf numFmtId="164" fontId="4" fillId="2" borderId="20" xfId="0" applyFont="1" applyFill="1" applyBorder="1" applyProtection="1"/>
    <xf numFmtId="165" fontId="4" fillId="2" borderId="14" xfId="0" applyNumberFormat="1" applyFont="1" applyFill="1" applyBorder="1" applyProtection="1"/>
    <xf numFmtId="164" fontId="4" fillId="2" borderId="10" xfId="0" applyFont="1" applyFill="1" applyBorder="1"/>
    <xf numFmtId="164" fontId="4" fillId="2" borderId="20" xfId="0" applyFont="1" applyFill="1" applyBorder="1"/>
    <xf numFmtId="164" fontId="1" fillId="0" borderId="0" xfId="0" applyFont="1"/>
    <xf numFmtId="164" fontId="4" fillId="0" borderId="21" xfId="0" applyFont="1" applyBorder="1"/>
    <xf numFmtId="164" fontId="3" fillId="0" borderId="21" xfId="0" applyFont="1" applyBorder="1"/>
    <xf numFmtId="164" fontId="1" fillId="0" borderId="0" xfId="0" quotePrefix="1" applyFont="1"/>
    <xf numFmtId="164" fontId="3" fillId="3" borderId="0" xfId="0" applyFont="1" applyFill="1" applyAlignment="1" applyProtection="1">
      <alignment horizontal="left"/>
    </xf>
    <xf numFmtId="164" fontId="4" fillId="3" borderId="0" xfId="0" applyFont="1" applyFill="1"/>
    <xf numFmtId="164" fontId="4" fillId="3" borderId="0" xfId="0" applyFont="1" applyFill="1" applyProtection="1"/>
    <xf numFmtId="164" fontId="4" fillId="3" borderId="0" xfId="0" applyFont="1" applyFill="1" applyAlignment="1">
      <alignment horizontal="left"/>
    </xf>
    <xf numFmtId="164" fontId="4" fillId="3" borderId="0" xfId="0" applyFont="1" applyFill="1" applyAlignment="1" applyProtection="1">
      <alignment horizontal="right"/>
    </xf>
    <xf numFmtId="173" fontId="4" fillId="3" borderId="0" xfId="0" applyNumberFormat="1" applyFont="1" applyFill="1" applyProtection="1"/>
    <xf numFmtId="170" fontId="4" fillId="3" borderId="0" xfId="0" applyNumberFormat="1" applyFont="1" applyFill="1" applyProtection="1"/>
    <xf numFmtId="164" fontId="4" fillId="3" borderId="0" xfId="0" applyFont="1" applyFill="1" applyAlignment="1" applyProtection="1">
      <alignment horizontal="left"/>
    </xf>
    <xf numFmtId="164" fontId="1" fillId="0" borderId="0" xfId="0" applyFont="1" applyAlignment="1">
      <alignment horizontal="right"/>
    </xf>
    <xf numFmtId="164" fontId="4" fillId="0" borderId="0" xfId="0" applyFont="1" applyAlignment="1">
      <alignment horizontal="right"/>
    </xf>
    <xf numFmtId="2" fontId="4" fillId="0" borderId="0" xfId="0" applyNumberFormat="1" applyFont="1"/>
    <xf numFmtId="164" fontId="1" fillId="0" borderId="0" xfId="0" quotePrefix="1" applyFont="1" applyAlignment="1">
      <alignment horizontal="right"/>
    </xf>
    <xf numFmtId="164" fontId="1" fillId="4" borderId="0" xfId="0" applyFont="1" applyFill="1"/>
    <xf numFmtId="164" fontId="4" fillId="4" borderId="0" xfId="0" applyFont="1" applyFill="1"/>
    <xf numFmtId="169" fontId="4" fillId="4" borderId="0" xfId="0" applyNumberFormat="1" applyFont="1" applyFill="1" applyProtection="1"/>
    <xf numFmtId="165" fontId="4" fillId="4" borderId="0" xfId="0" applyNumberFormat="1" applyFont="1" applyFill="1" applyProtection="1"/>
    <xf numFmtId="176" fontId="4" fillId="4" borderId="0" xfId="0" applyNumberFormat="1" applyFont="1" applyFill="1" applyProtection="1"/>
    <xf numFmtId="170" fontId="4" fillId="5" borderId="0" xfId="0" applyNumberFormat="1" applyFont="1" applyFill="1" applyProtection="1"/>
    <xf numFmtId="164" fontId="4" fillId="0" borderId="0" xfId="0" applyFont="1" applyFill="1" applyProtection="1"/>
    <xf numFmtId="165" fontId="1" fillId="4" borderId="0" xfId="0" applyNumberFormat="1" applyFont="1" applyFill="1" applyProtection="1"/>
    <xf numFmtId="164" fontId="4" fillId="0" borderId="10" xfId="0" applyFont="1" applyFill="1" applyBorder="1" applyProtection="1"/>
    <xf numFmtId="179" fontId="4" fillId="0" borderId="19" xfId="0" applyNumberFormat="1" applyFont="1" applyBorder="1"/>
    <xf numFmtId="170" fontId="4" fillId="0" borderId="0" xfId="0" applyNumberFormat="1" applyFont="1" applyFill="1" applyProtection="1"/>
    <xf numFmtId="171" fontId="4" fillId="0" borderId="0" xfId="0" applyNumberFormat="1" applyFont="1" applyFill="1" applyProtection="1"/>
    <xf numFmtId="164" fontId="1" fillId="6" borderId="0" xfId="0" applyFont="1" applyFill="1"/>
    <xf numFmtId="164" fontId="4" fillId="6" borderId="0" xfId="0" applyFont="1" applyFill="1"/>
    <xf numFmtId="165" fontId="4" fillId="6" borderId="0" xfId="0" applyNumberFormat="1" applyFont="1" applyFill="1" applyProtection="1"/>
    <xf numFmtId="170" fontId="4" fillId="0" borderId="0" xfId="0" applyNumberFormat="1" applyFont="1" applyFill="1" applyAlignment="1" applyProtection="1">
      <alignment horizontal="left"/>
    </xf>
    <xf numFmtId="0" fontId="4" fillId="0" borderId="0" xfId="0" applyNumberFormat="1" applyFont="1" applyProtection="1"/>
    <xf numFmtId="0" fontId="4" fillId="0" borderId="0" xfId="0" applyNumberFormat="1" applyFont="1"/>
    <xf numFmtId="164" fontId="3" fillId="0" borderId="0" xfId="0" applyFont="1" applyAlignment="1">
      <alignment horizontal="right"/>
    </xf>
    <xf numFmtId="170" fontId="1" fillId="0" borderId="0" xfId="0" applyNumberFormat="1" applyFont="1" applyAlignment="1" applyProtection="1">
      <alignment horizontal="right"/>
    </xf>
    <xf numFmtId="177" fontId="1" fillId="0" borderId="0" xfId="0" applyNumberFormat="1" applyFont="1" applyAlignment="1" applyProtection="1">
      <alignment horizontal="right"/>
    </xf>
    <xf numFmtId="2" fontId="4" fillId="0" borderId="0" xfId="0" applyNumberFormat="1" applyFont="1" applyProtection="1"/>
    <xf numFmtId="2" fontId="1" fillId="0" borderId="0" xfId="0" applyNumberFormat="1" applyFont="1" applyAlignment="1" applyProtection="1">
      <alignment horizontal="right"/>
    </xf>
    <xf numFmtId="166" fontId="4" fillId="0" borderId="0" xfId="0" applyNumberFormat="1" applyFont="1" applyFill="1" applyProtection="1"/>
    <xf numFmtId="164" fontId="4" fillId="0" borderId="0" xfId="0" applyFont="1" applyFill="1"/>
    <xf numFmtId="165" fontId="4" fillId="0" borderId="0" xfId="0" applyNumberFormat="1" applyFont="1" applyFill="1" applyProtection="1"/>
    <xf numFmtId="164" fontId="3" fillId="0" borderId="0" xfId="0" applyFont="1" applyFill="1" applyAlignment="1" applyProtection="1">
      <alignment horizontal="left"/>
    </xf>
    <xf numFmtId="164" fontId="4" fillId="0" borderId="0" xfId="0" applyFont="1" applyFill="1" applyAlignment="1">
      <alignment horizontal="left"/>
    </xf>
    <xf numFmtId="164" fontId="4" fillId="0" borderId="0" xfId="0" applyFont="1" applyFill="1" applyAlignment="1" applyProtection="1">
      <alignment horizontal="right"/>
    </xf>
    <xf numFmtId="173" fontId="4" fillId="0" borderId="0" xfId="0" applyNumberFormat="1" applyFont="1" applyFill="1" applyProtection="1"/>
    <xf numFmtId="164" fontId="4" fillId="0" borderId="0" xfId="0" applyFont="1" applyFill="1" applyAlignment="1" applyProtection="1">
      <alignment horizontal="left"/>
    </xf>
    <xf numFmtId="164" fontId="4" fillId="4" borderId="0" xfId="0" applyFont="1" applyFill="1" applyAlignment="1">
      <alignment horizontal="center"/>
    </xf>
    <xf numFmtId="164" fontId="4" fillId="4" borderId="0" xfId="0" applyNumberFormat="1" applyFont="1" applyFill="1" applyAlignment="1">
      <alignment horizontal="center"/>
    </xf>
    <xf numFmtId="164" fontId="1" fillId="4" borderId="0" xfId="0" applyFont="1" applyFill="1" applyAlignment="1">
      <alignment horizontal="center"/>
    </xf>
    <xf numFmtId="164" fontId="4" fillId="7" borderId="0" xfId="0" applyFont="1" applyFill="1"/>
    <xf numFmtId="164" fontId="1" fillId="7" borderId="0" xfId="0" applyFont="1" applyFill="1"/>
    <xf numFmtId="164" fontId="1" fillId="0" borderId="0" xfId="0" applyFont="1" applyAlignment="1" applyProtection="1">
      <alignment horizontal="right"/>
    </xf>
    <xf numFmtId="164" fontId="4" fillId="4" borderId="21" xfId="0" applyFont="1" applyFill="1" applyBorder="1"/>
    <xf numFmtId="170" fontId="4" fillId="4" borderId="21" xfId="0" applyNumberFormat="1" applyFont="1" applyFill="1" applyBorder="1" applyProtection="1"/>
    <xf numFmtId="164" fontId="1" fillId="0" borderId="0" xfId="0" applyFont="1" applyBorder="1"/>
    <xf numFmtId="164" fontId="4" fillId="2" borderId="21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He3(C12,p) cross section converted from reverse reaction - </a:t>
            </a:r>
            <a:r>
              <a:rPr lang="en-US" sz="1920" b="1" i="0" u="none" strike="noStrike" baseline="0"/>
              <a:t>R.L.Johnston et al. Physical Review v.109 (1958) 884</a:t>
            </a:r>
            <a:endParaRPr lang="en-US"/>
          </a:p>
        </c:rich>
      </c:tx>
      <c:layout>
        <c:manualLayout>
          <c:xMode val="edge"/>
          <c:yMode val="edge"/>
          <c:x val="0.1191653920957722"/>
          <c:y val="1.7608215811715643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IBA!$N$41</c:f>
              <c:strCache>
                <c:ptCount val="1"/>
                <c:pt idx="0">
                  <c:v>mb/sr</c:v>
                </c:pt>
              </c:strCache>
            </c:strRef>
          </c:tx>
          <c:spPr>
            <a:ln w="28575">
              <a:noFill/>
            </a:ln>
          </c:spPr>
          <c:xVal>
            <c:numRef>
              <c:f>IBA!$K$42:$K$67</c:f>
              <c:numCache>
                <c:formatCode>General_)</c:formatCode>
                <c:ptCount val="26"/>
                <c:pt idx="0">
                  <c:v>8.3333333333333332E-3</c:v>
                </c:pt>
                <c:pt idx="1">
                  <c:v>1.6666666666666666E-2</c:v>
                </c:pt>
                <c:pt idx="2">
                  <c:v>2.4999999999999998E-2</c:v>
                </c:pt>
                <c:pt idx="3">
                  <c:v>3.3333333333333333E-2</c:v>
                </c:pt>
                <c:pt idx="4">
                  <c:v>4.1666666666666664E-2</c:v>
                </c:pt>
                <c:pt idx="5">
                  <c:v>4.9999999999999996E-2</c:v>
                </c:pt>
                <c:pt idx="6">
                  <c:v>5.8333333333333327E-2</c:v>
                </c:pt>
                <c:pt idx="7">
                  <c:v>6.6666666666666666E-2</c:v>
                </c:pt>
                <c:pt idx="8">
                  <c:v>7.4999999999999997E-2</c:v>
                </c:pt>
                <c:pt idx="9">
                  <c:v>8.3333333333333329E-2</c:v>
                </c:pt>
                <c:pt idx="10">
                  <c:v>9.1666666666666674E-2</c:v>
                </c:pt>
                <c:pt idx="11">
                  <c:v>9.9999999999999992E-2</c:v>
                </c:pt>
                <c:pt idx="12">
                  <c:v>0.10833333333333334</c:v>
                </c:pt>
                <c:pt idx="13">
                  <c:v>0.11666666666666665</c:v>
                </c:pt>
                <c:pt idx="14">
                  <c:v>0.125</c:v>
                </c:pt>
                <c:pt idx="15">
                  <c:v>0.13333333333333333</c:v>
                </c:pt>
                <c:pt idx="16">
                  <c:v>0.14166666666666666</c:v>
                </c:pt>
                <c:pt idx="17">
                  <c:v>0.15</c:v>
                </c:pt>
                <c:pt idx="18">
                  <c:v>0.15833333333333333</c:v>
                </c:pt>
                <c:pt idx="19">
                  <c:v>0.16666666666666666</c:v>
                </c:pt>
                <c:pt idx="20">
                  <c:v>0.17500000000000002</c:v>
                </c:pt>
                <c:pt idx="21">
                  <c:v>0.18333333333333335</c:v>
                </c:pt>
                <c:pt idx="22">
                  <c:v>0.19166666666666665</c:v>
                </c:pt>
                <c:pt idx="23">
                  <c:v>0.19999999999999998</c:v>
                </c:pt>
                <c:pt idx="24">
                  <c:v>0.20833333333333334</c:v>
                </c:pt>
                <c:pt idx="25">
                  <c:v>0.21666666666666667</c:v>
                </c:pt>
              </c:numCache>
            </c:numRef>
          </c:xVal>
          <c:yVal>
            <c:numRef>
              <c:f>IBA!$N$42:$N$67</c:f>
              <c:numCache>
                <c:formatCode>0.000_)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83-4ABC-922D-B0F4E72C4D65}"/>
            </c:ext>
          </c:extLst>
        </c:ser>
        <c:ser>
          <c:idx val="1"/>
          <c:order val="1"/>
          <c:tx>
            <c:strRef>
              <c:f>IBA!$O$41</c:f>
              <c:strCache>
                <c:ptCount val="1"/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IBA!$K$42:$K$67</c:f>
              <c:numCache>
                <c:formatCode>General_)</c:formatCode>
                <c:ptCount val="26"/>
                <c:pt idx="0">
                  <c:v>8.3333333333333332E-3</c:v>
                </c:pt>
                <c:pt idx="1">
                  <c:v>1.6666666666666666E-2</c:v>
                </c:pt>
                <c:pt idx="2">
                  <c:v>2.4999999999999998E-2</c:v>
                </c:pt>
                <c:pt idx="3">
                  <c:v>3.3333333333333333E-2</c:v>
                </c:pt>
                <c:pt idx="4">
                  <c:v>4.1666666666666664E-2</c:v>
                </c:pt>
                <c:pt idx="5">
                  <c:v>4.9999999999999996E-2</c:v>
                </c:pt>
                <c:pt idx="6">
                  <c:v>5.8333333333333327E-2</c:v>
                </c:pt>
                <c:pt idx="7">
                  <c:v>6.6666666666666666E-2</c:v>
                </c:pt>
                <c:pt idx="8">
                  <c:v>7.4999999999999997E-2</c:v>
                </c:pt>
                <c:pt idx="9">
                  <c:v>8.3333333333333329E-2</c:v>
                </c:pt>
                <c:pt idx="10">
                  <c:v>9.1666666666666674E-2</c:v>
                </c:pt>
                <c:pt idx="11">
                  <c:v>9.9999999999999992E-2</c:v>
                </c:pt>
                <c:pt idx="12">
                  <c:v>0.10833333333333334</c:v>
                </c:pt>
                <c:pt idx="13">
                  <c:v>0.11666666666666665</c:v>
                </c:pt>
                <c:pt idx="14">
                  <c:v>0.125</c:v>
                </c:pt>
                <c:pt idx="15">
                  <c:v>0.13333333333333333</c:v>
                </c:pt>
                <c:pt idx="16">
                  <c:v>0.14166666666666666</c:v>
                </c:pt>
                <c:pt idx="17">
                  <c:v>0.15</c:v>
                </c:pt>
                <c:pt idx="18">
                  <c:v>0.15833333333333333</c:v>
                </c:pt>
                <c:pt idx="19">
                  <c:v>0.16666666666666666</c:v>
                </c:pt>
                <c:pt idx="20">
                  <c:v>0.17500000000000002</c:v>
                </c:pt>
                <c:pt idx="21">
                  <c:v>0.18333333333333335</c:v>
                </c:pt>
                <c:pt idx="22">
                  <c:v>0.19166666666666665</c:v>
                </c:pt>
                <c:pt idx="23">
                  <c:v>0.19999999999999998</c:v>
                </c:pt>
                <c:pt idx="24">
                  <c:v>0.20833333333333334</c:v>
                </c:pt>
                <c:pt idx="25">
                  <c:v>0.21666666666666667</c:v>
                </c:pt>
              </c:numCache>
            </c:numRef>
          </c:xVal>
          <c:yVal>
            <c:numRef>
              <c:f>IBA!$O$42:$O$67</c:f>
              <c:numCache>
                <c:formatCode>General_)</c:formatCode>
                <c:ptCount val="2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83-4ABC-922D-B0F4E72C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267968"/>
        <c:axId val="240540288"/>
      </c:scatterChart>
      <c:valAx>
        <c:axId val="2372679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C12 Energy (MeV)</a:t>
                </a:r>
              </a:p>
            </c:rich>
          </c:tx>
          <c:overlay val="0"/>
        </c:title>
        <c:numFmt formatCode="General_)" sourceLinked="1"/>
        <c:majorTickMark val="none"/>
        <c:minorTickMark val="none"/>
        <c:tickLblPos val="nextTo"/>
        <c:crossAx val="240540288"/>
        <c:crossesAt val="0"/>
        <c:crossBetween val="midCat"/>
      </c:valAx>
      <c:valAx>
        <c:axId val="2405402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Lab XS (mb/sr)</a:t>
                </a:r>
              </a:p>
            </c:rich>
          </c:tx>
          <c:overlay val="0"/>
        </c:title>
        <c:numFmt formatCode="0.000_)" sourceLinked="1"/>
        <c:majorTickMark val="none"/>
        <c:minorTickMark val="none"/>
        <c:tickLblPos val="nextTo"/>
        <c:crossAx val="237267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571499</xdr:colOff>
      <xdr:row>89</xdr:row>
      <xdr:rowOff>119062</xdr:rowOff>
    </xdr:from>
    <xdr:to>
      <xdr:col>22</xdr:col>
      <xdr:colOff>85724</xdr:colOff>
      <xdr:row>129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</xdr:colOff>
          <xdr:row>193</xdr:row>
          <xdr:rowOff>7620</xdr:rowOff>
        </xdr:from>
        <xdr:to>
          <xdr:col>3</xdr:col>
          <xdr:colOff>388620</xdr:colOff>
          <xdr:row>197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ourier"/>
                </a:rPr>
                <a:t>(p,n) reactions with 0&lt;En&lt;20 MeV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314325</xdr:colOff>
      <xdr:row>9</xdr:row>
      <xdr:rowOff>95250</xdr:rowOff>
    </xdr:from>
    <xdr:to>
      <xdr:col>23</xdr:col>
      <xdr:colOff>0</xdr:colOff>
      <xdr:row>28</xdr:row>
      <xdr:rowOff>9525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7781925" y="1609725"/>
          <a:ext cx="11620500" cy="30670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syncVertical="1" syncRef="A1" transitionEvaluation="1" transitionEntry="1" codeName="Sheet1"/>
  <dimension ref="A1:ED858"/>
  <sheetViews>
    <sheetView showGridLines="0" tabSelected="1" workbookViewId="0">
      <selection activeCell="G13" sqref="G13"/>
    </sheetView>
  </sheetViews>
  <sheetFormatPr defaultColWidth="9.88671875" defaultRowHeight="13.2" x14ac:dyDescent="0.25"/>
  <cols>
    <col min="1" max="1" width="9.88671875" style="8" customWidth="1"/>
    <col min="2" max="2" width="9.88671875" style="15" customWidth="1"/>
    <col min="3" max="3" width="13.109375" style="15" customWidth="1"/>
    <col min="4" max="4" width="8.88671875" style="15" customWidth="1"/>
    <col min="5" max="5" width="9.88671875" style="15" customWidth="1"/>
    <col min="6" max="6" width="12.88671875" style="14" customWidth="1"/>
    <col min="7" max="7" width="11.88671875" style="15" customWidth="1"/>
    <col min="8" max="8" width="13" style="15" customWidth="1"/>
    <col min="9" max="9" width="11.88671875" style="15" customWidth="1"/>
    <col min="10" max="10" width="7.88671875" style="15" customWidth="1"/>
    <col min="11" max="11" width="9.88671875" style="15" customWidth="1"/>
    <col min="12" max="12" width="9.88671875" style="15"/>
    <col min="13" max="13" width="10.88671875" style="15" customWidth="1"/>
    <col min="14" max="16" width="9.88671875" style="15"/>
    <col min="17" max="17" width="14.109375" style="15" customWidth="1"/>
    <col min="18" max="18" width="10.88671875" style="15" customWidth="1"/>
    <col min="19" max="19" width="13.88671875" style="15" customWidth="1"/>
    <col min="20" max="20" width="12.88671875" style="15" customWidth="1"/>
    <col min="21" max="21" width="9.88671875" style="15"/>
    <col min="22" max="22" width="11.88671875" style="15" customWidth="1"/>
    <col min="23" max="41" width="9.88671875" style="15"/>
    <col min="42" max="42" width="11.88671875" style="15" customWidth="1"/>
    <col min="43" max="67" width="9.88671875" style="15"/>
    <col min="68" max="68" width="9.88671875" style="15" customWidth="1"/>
    <col min="69" max="16384" width="9.88671875" style="15"/>
  </cols>
  <sheetData>
    <row r="1" spans="1:121" ht="17.25" customHeight="1" x14ac:dyDescent="0.3">
      <c r="A1" s="1" t="s">
        <v>0</v>
      </c>
      <c r="B1" s="13"/>
      <c r="C1" s="13"/>
      <c r="D1" s="13"/>
      <c r="E1" s="13"/>
    </row>
    <row r="2" spans="1:121" x14ac:dyDescent="0.25">
      <c r="A2" s="2" t="s">
        <v>556</v>
      </c>
      <c r="BW2" s="16" t="s">
        <v>2</v>
      </c>
      <c r="DQ2" s="16" t="s">
        <v>3</v>
      </c>
    </row>
    <row r="3" spans="1:121" x14ac:dyDescent="0.25">
      <c r="A3" s="3" t="s">
        <v>4</v>
      </c>
    </row>
    <row r="4" spans="1:121" x14ac:dyDescent="0.25">
      <c r="I4" s="26"/>
      <c r="J4" s="26"/>
    </row>
    <row r="5" spans="1:121" x14ac:dyDescent="0.25">
      <c r="A5" s="4" t="s">
        <v>5</v>
      </c>
      <c r="B5" s="17"/>
      <c r="C5" s="18" t="s">
        <v>6</v>
      </c>
      <c r="D5" s="19" t="s">
        <v>7</v>
      </c>
      <c r="F5" s="15"/>
      <c r="G5" s="71" t="s">
        <v>8</v>
      </c>
      <c r="H5" s="70"/>
      <c r="I5" s="124"/>
      <c r="J5" s="26"/>
      <c r="L5" s="23" t="s">
        <v>9</v>
      </c>
      <c r="S5" s="69"/>
    </row>
    <row r="6" spans="1:121" x14ac:dyDescent="0.25">
      <c r="A6" s="5" t="s">
        <v>10</v>
      </c>
      <c r="C6" s="62">
        <v>0</v>
      </c>
      <c r="D6" s="63">
        <v>1</v>
      </c>
      <c r="F6" s="15"/>
      <c r="G6" s="71" t="s">
        <v>11</v>
      </c>
      <c r="H6" s="125">
        <v>42</v>
      </c>
      <c r="I6" s="26"/>
      <c r="J6" s="124"/>
      <c r="L6" s="23" t="s">
        <v>13</v>
      </c>
    </row>
    <row r="7" spans="1:121" x14ac:dyDescent="0.25">
      <c r="A7" s="5" t="s">
        <v>14</v>
      </c>
      <c r="C7" s="62">
        <v>6</v>
      </c>
      <c r="D7" s="63">
        <v>12</v>
      </c>
      <c r="F7" s="15"/>
      <c r="G7" s="71" t="s">
        <v>15</v>
      </c>
      <c r="H7" s="125">
        <v>96</v>
      </c>
      <c r="I7" s="26"/>
      <c r="J7" s="124"/>
      <c r="L7" s="23" t="s">
        <v>16</v>
      </c>
    </row>
    <row r="8" spans="1:121" x14ac:dyDescent="0.25">
      <c r="A8" s="6" t="s">
        <v>17</v>
      </c>
      <c r="C8" s="64">
        <v>2</v>
      </c>
      <c r="D8" s="65">
        <v>4</v>
      </c>
      <c r="F8" s="15"/>
      <c r="I8" s="26"/>
      <c r="J8" s="26"/>
      <c r="L8" s="23" t="s">
        <v>18</v>
      </c>
    </row>
    <row r="9" spans="1:121" x14ac:dyDescent="0.25">
      <c r="A9" s="7" t="s">
        <v>19</v>
      </c>
      <c r="B9" s="25"/>
      <c r="C9" s="25"/>
      <c r="D9" s="66">
        <v>14.96</v>
      </c>
      <c r="E9" s="23" t="s">
        <v>20</v>
      </c>
      <c r="F9" s="15"/>
      <c r="G9" s="71" t="s">
        <v>516</v>
      </c>
      <c r="H9" s="70">
        <f>((D6+D7)/D7)*C6*C7/(D6^0.33+D7^0.33)</f>
        <v>0</v>
      </c>
      <c r="I9" s="69" t="s">
        <v>20</v>
      </c>
      <c r="L9" s="23" t="s">
        <v>21</v>
      </c>
    </row>
    <row r="10" spans="1:121" x14ac:dyDescent="0.25">
      <c r="A10" s="5" t="s">
        <v>22</v>
      </c>
      <c r="B10" s="26"/>
      <c r="C10" s="26"/>
      <c r="D10" s="63">
        <v>0</v>
      </c>
      <c r="E10" s="23" t="s">
        <v>23</v>
      </c>
    </row>
    <row r="11" spans="1:121" x14ac:dyDescent="0.25">
      <c r="A11" s="5" t="s">
        <v>24</v>
      </c>
      <c r="B11" s="26"/>
      <c r="C11" s="124" t="s">
        <v>557</v>
      </c>
      <c r="D11" s="63">
        <v>1E-4</v>
      </c>
      <c r="E11" s="23" t="s">
        <v>25</v>
      </c>
    </row>
    <row r="12" spans="1:121" x14ac:dyDescent="0.25">
      <c r="A12" s="6" t="s">
        <v>26</v>
      </c>
      <c r="B12" s="13"/>
      <c r="C12" s="13"/>
      <c r="D12" s="65">
        <v>0</v>
      </c>
      <c r="E12" s="27" t="str">
        <f>"MeV above ground state "&amp;$AC$65</f>
        <v>MeV above ground state 9Be</v>
      </c>
    </row>
    <row r="13" spans="1:121" ht="13.8" thickBot="1" x14ac:dyDescent="0.3"/>
    <row r="14" spans="1:121" ht="14.4" thickTop="1" thickBot="1" x14ac:dyDescent="0.3">
      <c r="A14" s="9" t="s">
        <v>27</v>
      </c>
      <c r="B14" s="28"/>
      <c r="C14" s="28"/>
      <c r="D14" s="28"/>
      <c r="E14" s="29"/>
    </row>
    <row r="15" spans="1:121" ht="14.4" thickTop="1" thickBot="1" x14ac:dyDescent="0.3">
      <c r="A15" s="7" t="s">
        <v>28</v>
      </c>
      <c r="B15" s="25"/>
      <c r="C15" s="30" t="str">
        <f>($AC$62&amp;$AC$58&amp;$AC$65)</f>
        <v>12C(1n,4He)9Be</v>
      </c>
      <c r="D15" s="31"/>
      <c r="E15" s="25"/>
      <c r="F15" s="32"/>
      <c r="G15" s="25"/>
      <c r="H15" s="25"/>
      <c r="I15" s="31"/>
    </row>
    <row r="16" spans="1:121" ht="13.8" thickBot="1" x14ac:dyDescent="0.3">
      <c r="A16" s="5" t="s">
        <v>29</v>
      </c>
      <c r="B16" s="26"/>
      <c r="C16" s="26"/>
      <c r="D16" s="33">
        <f>((INDEX($Z$69:$DQ$310,$D$6+1,$C$6+1+1)+INDEX($Z$69:$DQ$310,$D$7+1,$C$7+1+1)-INDEX($Z$69:$DQ$310,$D$8+1,$C$8+1+1)-INDEX($Z$69:$DQ$310,$D$32+1,$B$32+1+1))*931.48)-$D$12</f>
        <v>-5.701386948840069</v>
      </c>
      <c r="E16" s="34" t="s">
        <v>20</v>
      </c>
      <c r="F16" s="35" t="s">
        <v>30</v>
      </c>
      <c r="G16" s="26"/>
      <c r="H16" s="26"/>
      <c r="I16" s="22"/>
      <c r="S16" s="72" t="s">
        <v>523</v>
      </c>
      <c r="T16" s="15">
        <f>180/PI()</f>
        <v>57.295779513082323</v>
      </c>
    </row>
    <row r="17" spans="1:77" ht="13.8" thickBot="1" x14ac:dyDescent="0.3">
      <c r="A17" s="5" t="s">
        <v>31</v>
      </c>
      <c r="B17" s="26"/>
      <c r="C17" s="26"/>
      <c r="D17" s="36">
        <f>B86</f>
        <v>8.7867790553144136</v>
      </c>
      <c r="E17" s="37" t="s">
        <v>20</v>
      </c>
      <c r="F17" s="38" t="e">
        <f>D67</f>
        <v>#DIV/0!</v>
      </c>
      <c r="G17" s="39" t="s">
        <v>32</v>
      </c>
      <c r="H17" s="39" t="s">
        <v>33</v>
      </c>
      <c r="I17" s="22"/>
    </row>
    <row r="18" spans="1:77" ht="13.8" thickBot="1" x14ac:dyDescent="0.3">
      <c r="A18" s="10" t="s">
        <v>34</v>
      </c>
      <c r="B18" s="13"/>
      <c r="C18" s="13"/>
      <c r="D18" s="13"/>
      <c r="E18" s="13"/>
      <c r="F18" s="40"/>
      <c r="G18" s="61" t="e">
        <f>D46/1000</f>
        <v>#DIV/0!</v>
      </c>
      <c r="H18" s="94">
        <f>D69/1000</f>
        <v>0</v>
      </c>
      <c r="I18" s="41" t="s">
        <v>35</v>
      </c>
    </row>
    <row r="19" spans="1:77" x14ac:dyDescent="0.25">
      <c r="A19" s="2" t="s">
        <v>12</v>
      </c>
      <c r="B19" s="42"/>
      <c r="Q19" s="69" t="s">
        <v>546</v>
      </c>
    </row>
    <row r="20" spans="1:77" x14ac:dyDescent="0.25">
      <c r="A20" s="2" t="s">
        <v>36</v>
      </c>
      <c r="H20" s="42"/>
      <c r="Q20" s="69" t="s">
        <v>535</v>
      </c>
    </row>
    <row r="21" spans="1:77" x14ac:dyDescent="0.25">
      <c r="A21" s="2" t="s">
        <v>37</v>
      </c>
      <c r="D21" s="27">
        <f>INDEX($Z$69:$DQ$310,$D$6+$D$7+1,$C$6+$C$7+1+1)</f>
        <v>13.003354839</v>
      </c>
      <c r="E21" s="16" t="s">
        <v>38</v>
      </c>
      <c r="F21" s="23">
        <f>INDEX($Z$69:$DQ$310,$D$6+1,$C$6+1+1)</f>
        <v>1.0086649670000001</v>
      </c>
      <c r="G21" s="16" t="s">
        <v>39</v>
      </c>
      <c r="H21" s="27">
        <f>INDEX($Z$69:$DQ$310,$D$7+1,$C$7+1+1)</f>
        <v>12</v>
      </c>
      <c r="Q21" s="69" t="s">
        <v>87</v>
      </c>
      <c r="R21" s="15">
        <f>D10</f>
        <v>0</v>
      </c>
    </row>
    <row r="22" spans="1:77" x14ac:dyDescent="0.25">
      <c r="A22" s="2" t="s">
        <v>40</v>
      </c>
      <c r="D22" s="27" t="str">
        <f>INDEX($Z$69:$DQ$310,($D$6+$D$7)+1,1)&amp;INDEX($Z$69:$DQ$310,1,($C$6+$C$7+1)+1)</f>
        <v>13C</v>
      </c>
      <c r="E22" s="16" t="s">
        <v>41</v>
      </c>
      <c r="F22" s="23">
        <f>INDEX($Z$69:$DQ$310,$D$8+1,$C$8+1+1)</f>
        <v>4.0026032499999999</v>
      </c>
      <c r="G22" s="16" t="s">
        <v>42</v>
      </c>
      <c r="H22" s="27">
        <f>INDEX($Z$69:$DQ$310,$D$32+1,$B$32+1+1)</f>
        <v>9.0121824999999998</v>
      </c>
      <c r="Q22" s="69" t="s">
        <v>341</v>
      </c>
      <c r="R22" s="15">
        <f>2*R21</f>
        <v>0</v>
      </c>
    </row>
    <row r="23" spans="1:77" x14ac:dyDescent="0.25">
      <c r="A23" s="2" t="s">
        <v>43</v>
      </c>
      <c r="D23" s="27">
        <f>D16+D9*(1-F21/D21)</f>
        <v>8.0981719116885387</v>
      </c>
      <c r="E23" s="23" t="s">
        <v>44</v>
      </c>
      <c r="F23" s="23" t="s">
        <v>45</v>
      </c>
      <c r="G23" s="42">
        <f>T47</f>
        <v>13.809230769230771</v>
      </c>
      <c r="H23" s="23" t="s">
        <v>20</v>
      </c>
      <c r="K23" s="16"/>
      <c r="M23" s="27"/>
      <c r="Q23" s="69" t="s">
        <v>233</v>
      </c>
      <c r="R23" s="15">
        <f>180-R22</f>
        <v>180</v>
      </c>
    </row>
    <row r="24" spans="1:77" x14ac:dyDescent="0.25">
      <c r="A24" s="2" t="s">
        <v>47</v>
      </c>
      <c r="D24" s="42">
        <f>-1*((F21+H21)/H21)*D16</f>
        <v>6.1806193887239029</v>
      </c>
      <c r="E24" s="23" t="s">
        <v>20</v>
      </c>
      <c r="F24" s="23" t="s">
        <v>48</v>
      </c>
      <c r="G24" s="42">
        <f>(($C$7*$C$6*10000000000000*$T$59)/(1.4*($D$7^(1/3)+$D$6^(1/3))))*(1+$D$6/$D$7)</f>
        <v>0</v>
      </c>
      <c r="H24" s="23" t="s">
        <v>20</v>
      </c>
      <c r="Z24" s="16" t="s">
        <v>49</v>
      </c>
      <c r="AJ24" s="16" t="s">
        <v>50</v>
      </c>
    </row>
    <row r="25" spans="1:77" x14ac:dyDescent="0.25">
      <c r="A25" s="2" t="str">
        <f>+$AC$62&amp;"+"&amp;+$AC$61&amp;" E level on the "&amp;$D$22&amp;" NDS="</f>
        <v>12C+1n E level on the 13C NDS=</v>
      </c>
      <c r="E25" s="43">
        <f>((F21-$D$6)+(H21-$D$7)-($D$21-ROUND($D$21,0)))*931.48</f>
        <v>4.9462780294400748</v>
      </c>
    </row>
    <row r="27" spans="1:77" x14ac:dyDescent="0.25">
      <c r="A27" s="11" t="s">
        <v>51</v>
      </c>
      <c r="B27" s="26"/>
      <c r="C27" s="26"/>
      <c r="D27" s="44">
        <f>$T$31</f>
        <v>8.7867873042567712</v>
      </c>
      <c r="E27" s="45" t="s">
        <v>20</v>
      </c>
      <c r="K27" s="69"/>
      <c r="L27" s="91"/>
      <c r="R27" s="97" t="s">
        <v>545</v>
      </c>
      <c r="S27" s="98" t="s">
        <v>52</v>
      </c>
      <c r="T27" s="98">
        <f>(H7/$D$6)</f>
        <v>96</v>
      </c>
      <c r="U27" s="98" t="s">
        <v>53</v>
      </c>
      <c r="V27" s="99">
        <f>(($W$71+($T$27^2-$W$73)^0.5)/(1+$T$27))^2</f>
        <v>1</v>
      </c>
    </row>
    <row r="28" spans="1:77" x14ac:dyDescent="0.25">
      <c r="K28" s="69"/>
      <c r="U28" s="16" t="s">
        <v>58</v>
      </c>
    </row>
    <row r="29" spans="1:77" x14ac:dyDescent="0.25">
      <c r="S29" s="16" t="s">
        <v>61</v>
      </c>
      <c r="T29" s="27">
        <f>$D$7/$D$6</f>
        <v>12</v>
      </c>
      <c r="U29" s="16" t="s">
        <v>62</v>
      </c>
      <c r="V29" s="27">
        <f>$D$10</f>
        <v>0</v>
      </c>
      <c r="W29" s="16" t="s">
        <v>63</v>
      </c>
      <c r="X29" s="50">
        <f>180-ASIN((T33/(T30*T58))^0.5*SIN(D36/T16))*T16</f>
        <v>180</v>
      </c>
      <c r="Y29" s="50"/>
      <c r="Z29" s="50"/>
    </row>
    <row r="30" spans="1:77" x14ac:dyDescent="0.25">
      <c r="A30" s="2" t="s">
        <v>54</v>
      </c>
      <c r="S30" s="16" t="s">
        <v>67</v>
      </c>
      <c r="T30" s="52">
        <f>$D$9+$D$16</f>
        <v>9.2586130511599318</v>
      </c>
      <c r="U30" s="16" t="s">
        <v>68</v>
      </c>
      <c r="V30" s="27">
        <f>($D$10/(180/PI()))</f>
        <v>0</v>
      </c>
      <c r="X30" s="27">
        <f>((T31/T30)/T58)^0.5</f>
        <v>1.2511598264918675</v>
      </c>
    </row>
    <row r="31" spans="1:77" x14ac:dyDescent="0.25">
      <c r="D31" s="16" t="s">
        <v>55</v>
      </c>
      <c r="F31" s="23" t="s">
        <v>56</v>
      </c>
      <c r="Q31" s="72" t="s">
        <v>517</v>
      </c>
      <c r="R31" s="15">
        <f>IF(T56&lt;T58,1,0)</f>
        <v>1</v>
      </c>
      <c r="S31" s="16" t="s">
        <v>70</v>
      </c>
      <c r="T31" s="27">
        <f>$T$30*$T$56*($V$31+($T$58/$T$56-$V$35^2)^0.5)^2</f>
        <v>8.7867873042567712</v>
      </c>
      <c r="U31" s="16" t="s">
        <v>71</v>
      </c>
      <c r="V31" s="27">
        <f>COS($V$30)</f>
        <v>1</v>
      </c>
    </row>
    <row r="32" spans="1:77" x14ac:dyDescent="0.25">
      <c r="A32" s="2" t="s">
        <v>57</v>
      </c>
      <c r="B32" s="27">
        <f>$C$7+$T$42</f>
        <v>4</v>
      </c>
      <c r="C32" s="16" t="s">
        <v>42</v>
      </c>
      <c r="D32" s="27">
        <f>$D$7+$T$43</f>
        <v>9</v>
      </c>
      <c r="I32" s="46"/>
      <c r="O32" s="47"/>
      <c r="Q32" s="69" t="s">
        <v>518</v>
      </c>
      <c r="R32" s="69">
        <f>IF(R31=1,0,1)</f>
        <v>0</v>
      </c>
      <c r="U32" s="81" t="s">
        <v>87</v>
      </c>
      <c r="V32" s="83">
        <f>((F22*T31/(H22*T35))^0.5*SIN(D43/T16))*T16</f>
        <v>0</v>
      </c>
      <c r="AA32" s="23"/>
      <c r="AB32" s="16"/>
      <c r="AD32" s="16"/>
      <c r="AE32" s="23"/>
      <c r="AJ32" s="23"/>
      <c r="AK32" s="16"/>
      <c r="BW32" s="43"/>
      <c r="BX32" s="43"/>
      <c r="BY32" s="43"/>
    </row>
    <row r="33" spans="1:134" x14ac:dyDescent="0.25">
      <c r="A33" s="2" t="s">
        <v>59</v>
      </c>
      <c r="C33" s="27" t="str">
        <f>$AC$65</f>
        <v>9Be</v>
      </c>
      <c r="I33" s="48"/>
      <c r="J33" s="85" t="s">
        <v>528</v>
      </c>
      <c r="K33" s="86"/>
      <c r="L33" s="86"/>
      <c r="M33" s="86"/>
      <c r="N33" s="87"/>
      <c r="Q33" s="69" t="s">
        <v>522</v>
      </c>
      <c r="R33" s="69" t="e">
        <f>IF(D10&lt;ASIN((T58/T56)^0.5),1,0)</f>
        <v>#NUM!</v>
      </c>
      <c r="T33" s="15">
        <f>T31</f>
        <v>8.7867873042567712</v>
      </c>
      <c r="U33" s="82"/>
      <c r="AB33" s="16"/>
      <c r="BW33" s="43"/>
    </row>
    <row r="34" spans="1:134" x14ac:dyDescent="0.25">
      <c r="A34" s="2" t="s">
        <v>60</v>
      </c>
      <c r="D34" s="42">
        <f>($T$30-$T$31)</f>
        <v>0.47182574690316059</v>
      </c>
      <c r="E34" s="23" t="s">
        <v>20</v>
      </c>
      <c r="F34" s="49">
        <f>$T$30*$T$57</f>
        <v>2.4947211755048313</v>
      </c>
      <c r="G34" s="23" t="s">
        <v>20</v>
      </c>
      <c r="J34" s="86"/>
      <c r="K34" s="86"/>
      <c r="L34" s="86"/>
      <c r="M34" s="86"/>
      <c r="N34" s="88"/>
      <c r="U34" s="82"/>
      <c r="AB34" s="16"/>
      <c r="BW34" s="43"/>
      <c r="BX34" s="43"/>
      <c r="BY34" s="43"/>
    </row>
    <row r="35" spans="1:134" x14ac:dyDescent="0.25">
      <c r="A35" s="2" t="s">
        <v>64</v>
      </c>
      <c r="D35" s="95">
        <f>V32</f>
        <v>0</v>
      </c>
      <c r="E35" s="23" t="s">
        <v>65</v>
      </c>
      <c r="F35" s="51">
        <f>180-$X$29</f>
        <v>0</v>
      </c>
      <c r="G35" s="23" t="s">
        <v>66</v>
      </c>
      <c r="J35" s="85" t="s">
        <v>551</v>
      </c>
      <c r="K35" s="86"/>
      <c r="L35" s="86"/>
      <c r="M35" s="86"/>
      <c r="N35" s="88"/>
      <c r="Q35" s="69" t="s">
        <v>519</v>
      </c>
      <c r="R35" s="15">
        <f>IF(T55&lt;T57,1,0)</f>
        <v>1</v>
      </c>
      <c r="S35" s="16" t="s">
        <v>73</v>
      </c>
      <c r="T35" s="27">
        <f>T30-T31</f>
        <v>0.47182574690316059</v>
      </c>
      <c r="U35" s="16" t="s">
        <v>74</v>
      </c>
      <c r="V35" s="27">
        <f>SIN($V$30)</f>
        <v>0</v>
      </c>
      <c r="AB35" s="23"/>
      <c r="AJ35" s="16"/>
      <c r="AK35" s="16"/>
      <c r="AL35" s="16"/>
      <c r="AM35" s="16"/>
      <c r="AN35" s="16"/>
      <c r="BW35" s="43"/>
    </row>
    <row r="36" spans="1:134" x14ac:dyDescent="0.25">
      <c r="A36" s="2" t="s">
        <v>69</v>
      </c>
      <c r="D36" s="27">
        <f>D10</f>
        <v>0</v>
      </c>
      <c r="E36" s="23" t="s">
        <v>65</v>
      </c>
      <c r="F36" s="51">
        <f>$X$29</f>
        <v>180</v>
      </c>
      <c r="G36" s="23" t="s">
        <v>66</v>
      </c>
      <c r="J36" s="85" t="s">
        <v>530</v>
      </c>
      <c r="K36" s="86"/>
      <c r="L36" s="86"/>
      <c r="M36" s="86"/>
      <c r="N36" s="88"/>
      <c r="Q36" s="69" t="s">
        <v>520</v>
      </c>
      <c r="R36" s="15">
        <f>IF(R35=1,0,1)</f>
        <v>0</v>
      </c>
      <c r="S36" s="84" t="s">
        <v>524</v>
      </c>
      <c r="T36" s="15">
        <f>$T$30*$T$55*(COS($V$32/$T$16)+($T$57/$T$55-SIN($V$32/$T$16)^2)^0.5)^2</f>
        <v>6.1109893851715889</v>
      </c>
      <c r="U36" s="82"/>
      <c r="AK36" s="16"/>
      <c r="AL36" s="16"/>
      <c r="AM36" s="16"/>
      <c r="AN36" s="16"/>
      <c r="BX36" s="43"/>
    </row>
    <row r="37" spans="1:134" x14ac:dyDescent="0.25">
      <c r="A37" s="2" t="s">
        <v>72</v>
      </c>
      <c r="D37" s="42">
        <f>IF(ISERR($T$35)=1,"N.Det.",$T$35)</f>
        <v>0.47182574690316059</v>
      </c>
      <c r="E37" s="27" t="str">
        <f>IF(ISERR($T$35)=1,"","MeV")</f>
        <v>MeV</v>
      </c>
      <c r="F37" s="49"/>
      <c r="G37" s="23" t="s">
        <v>20</v>
      </c>
      <c r="H37" s="50"/>
      <c r="J37" s="86"/>
      <c r="K37" s="86"/>
      <c r="L37" s="86"/>
      <c r="M37" s="86"/>
      <c r="N37" s="88"/>
      <c r="O37" s="43"/>
      <c r="Q37" s="69" t="s">
        <v>521</v>
      </c>
      <c r="R37" s="69" t="e">
        <f>IF(D10&lt;ASIN((T57/T55)^0.5),1,0)</f>
        <v>#NUM!</v>
      </c>
      <c r="S37" s="84" t="s">
        <v>525</v>
      </c>
      <c r="T37" s="15">
        <f>$T$30*$T$55*(COS($V$32/$T$16)-($T$57/$T$55-SIN($V$32/$T$16)^2)^0.5)^2</f>
        <v>0.47182574690316192</v>
      </c>
      <c r="AK37" s="16"/>
      <c r="AL37" s="16"/>
      <c r="AM37" s="16"/>
      <c r="AN37" s="16"/>
      <c r="BX37" s="43"/>
    </row>
    <row r="38" spans="1:134" x14ac:dyDescent="0.25">
      <c r="J38" s="85" t="s">
        <v>531</v>
      </c>
      <c r="K38" s="86"/>
      <c r="L38" s="86">
        <f>(T31/T30)/(T55*T57*(T58/T56-SIN(D36/T16)^2))^0.5</f>
        <v>1.5654009114271599</v>
      </c>
      <c r="M38" s="86"/>
      <c r="N38" s="88"/>
      <c r="S38" s="82"/>
      <c r="AA38" s="16"/>
      <c r="AB38" s="16"/>
      <c r="AK38" s="16"/>
      <c r="AL38" s="16"/>
      <c r="AM38" s="16"/>
      <c r="BT38" s="43"/>
      <c r="BU38" s="43"/>
      <c r="BV38" s="43"/>
      <c r="BX38" s="43"/>
    </row>
    <row r="39" spans="1:134" x14ac:dyDescent="0.25">
      <c r="A39" s="2" t="s">
        <v>77</v>
      </c>
      <c r="D39" s="23" t="s">
        <v>55</v>
      </c>
      <c r="F39" s="23" t="s">
        <v>56</v>
      </c>
      <c r="J39" s="85" t="s">
        <v>536</v>
      </c>
      <c r="K39" s="116"/>
      <c r="L39" s="117">
        <f>(4*COS(D10/T16))</f>
        <v>4</v>
      </c>
      <c r="M39" s="118" t="s">
        <v>534</v>
      </c>
      <c r="N39" s="118" t="s">
        <v>89</v>
      </c>
      <c r="AB39" s="16"/>
      <c r="AK39" s="16"/>
      <c r="AL39" s="16"/>
      <c r="AM39" s="16"/>
    </row>
    <row r="40" spans="1:134" x14ac:dyDescent="0.25">
      <c r="A40" s="2" t="s">
        <v>78</v>
      </c>
      <c r="D40" s="27" t="str">
        <f>$AC$61</f>
        <v>1n</v>
      </c>
      <c r="J40" s="86"/>
      <c r="K40" s="118" t="s">
        <v>532</v>
      </c>
      <c r="L40" s="118" t="s">
        <v>533</v>
      </c>
      <c r="M40" s="118" t="s">
        <v>89</v>
      </c>
      <c r="N40" s="118" t="s">
        <v>133</v>
      </c>
      <c r="S40" s="16" t="s">
        <v>75</v>
      </c>
      <c r="T40" s="42">
        <f>D16</f>
        <v>-5.701386948840069</v>
      </c>
      <c r="U40" s="16" t="s">
        <v>76</v>
      </c>
      <c r="V40" s="27">
        <f>($V$35^2)</f>
        <v>0</v>
      </c>
      <c r="AB40" s="23"/>
      <c r="AK40" s="16"/>
      <c r="AL40" s="16"/>
      <c r="AM40" s="16"/>
    </row>
    <row r="41" spans="1:134" x14ac:dyDescent="0.25">
      <c r="A41" s="2" t="s">
        <v>79</v>
      </c>
      <c r="D41" s="27" t="str">
        <f>$AC$62</f>
        <v>12C</v>
      </c>
      <c r="J41" s="86"/>
      <c r="K41" s="116"/>
      <c r="L41" s="116">
        <f>+L38</f>
        <v>1.5654009114271599</v>
      </c>
      <c r="M41" s="118" t="s">
        <v>549</v>
      </c>
      <c r="N41" s="118" t="s">
        <v>89</v>
      </c>
      <c r="AB41" s="16"/>
    </row>
    <row r="42" spans="1:134" x14ac:dyDescent="0.25">
      <c r="A42" s="2" t="s">
        <v>19</v>
      </c>
      <c r="D42" s="42">
        <f>$D$9</f>
        <v>14.96</v>
      </c>
      <c r="E42" s="23" t="s">
        <v>20</v>
      </c>
      <c r="F42" s="49">
        <f>(D42/(1+$D$6/$D$7))</f>
        <v>13.809230769230771</v>
      </c>
      <c r="G42" s="23" t="s">
        <v>20</v>
      </c>
      <c r="J42" s="86"/>
      <c r="K42" s="86">
        <f>'IBA-prime'!K42*$D$6/$D$7</f>
        <v>8.3333333333333332E-3</v>
      </c>
      <c r="L42" s="86" t="e">
        <f t="dataTable" ref="L42:L71" dt2D="0" dtr="0" r1="D9"/>
        <v>#NUM!</v>
      </c>
      <c r="M42" s="88" t="e">
        <f>'IBA-prime'!N42</f>
        <v>#NUM!</v>
      </c>
      <c r="N42" s="88" t="e">
        <f>M42*L42</f>
        <v>#NUM!</v>
      </c>
      <c r="O42" s="109"/>
      <c r="S42" s="16" t="s">
        <v>80</v>
      </c>
      <c r="T42" s="27">
        <f>$C$6-$C$8</f>
        <v>-2</v>
      </c>
      <c r="U42" s="52"/>
      <c r="BT42" s="43"/>
      <c r="BU42" s="43"/>
      <c r="BV42" s="43"/>
      <c r="BX42" s="43"/>
      <c r="BY42" s="43"/>
    </row>
    <row r="43" spans="1:134" x14ac:dyDescent="0.25">
      <c r="A43" s="2" t="s">
        <v>81</v>
      </c>
      <c r="D43" s="50">
        <f>D10</f>
        <v>0</v>
      </c>
      <c r="E43" s="23" t="s">
        <v>23</v>
      </c>
      <c r="F43" s="51">
        <f>$X$69</f>
        <v>0</v>
      </c>
      <c r="G43" s="23" t="s">
        <v>66</v>
      </c>
      <c r="J43" s="86"/>
      <c r="K43" s="86">
        <f>'IBA-prime'!K43*$D$6/$D$7</f>
        <v>1.6666666666666666E-2</v>
      </c>
      <c r="L43" s="86" t="e">
        <v>#NUM!</v>
      </c>
      <c r="M43" s="88" t="e">
        <f>'IBA-prime'!N43</f>
        <v>#NUM!</v>
      </c>
      <c r="N43" s="88" t="e">
        <f>M43*L43</f>
        <v>#NUM!</v>
      </c>
      <c r="O43" s="109"/>
      <c r="S43" s="16" t="s">
        <v>82</v>
      </c>
      <c r="T43" s="27">
        <f>$D$6-$D$8</f>
        <v>-3</v>
      </c>
      <c r="U43" s="52"/>
      <c r="DU43" s="42"/>
      <c r="DV43" s="42"/>
      <c r="DX43" s="42"/>
      <c r="DY43" s="42"/>
      <c r="DZ43" s="42"/>
      <c r="EB43" s="42"/>
      <c r="EC43" s="42"/>
      <c r="ED43" s="42"/>
    </row>
    <row r="44" spans="1:134" x14ac:dyDescent="0.25">
      <c r="A44" s="2" t="s">
        <v>83</v>
      </c>
      <c r="D44" s="95">
        <f>V32</f>
        <v>0</v>
      </c>
      <c r="E44" s="16" t="s">
        <v>23</v>
      </c>
      <c r="F44" s="100">
        <f>2*D44</f>
        <v>0</v>
      </c>
      <c r="G44" s="23" t="s">
        <v>66</v>
      </c>
      <c r="J44" s="86"/>
      <c r="K44" s="86">
        <f>'IBA-prime'!K44*$D$6/$D$7</f>
        <v>2.4999999999999998E-2</v>
      </c>
      <c r="L44" s="86" t="e">
        <v>#NUM!</v>
      </c>
      <c r="M44" s="88" t="e">
        <f>'IBA-prime'!N44</f>
        <v>#NUM!</v>
      </c>
      <c r="N44" s="88" t="e">
        <f t="shared" ref="N44:N71" si="0">M44*L44</f>
        <v>#NUM!</v>
      </c>
      <c r="O44" s="109"/>
      <c r="U44" s="16" t="s">
        <v>84</v>
      </c>
      <c r="BA44" s="53"/>
      <c r="DU44" s="42"/>
      <c r="DV44" s="42"/>
      <c r="DX44" s="42"/>
      <c r="DY44" s="42"/>
      <c r="DZ44" s="42"/>
      <c r="EA44" s="42"/>
      <c r="EB44" s="42"/>
      <c r="EC44" s="42"/>
      <c r="ED44" s="42"/>
    </row>
    <row r="45" spans="1:134" x14ac:dyDescent="0.25">
      <c r="A45" s="2" t="s">
        <v>85</v>
      </c>
      <c r="D45" s="42">
        <f>$T$69</f>
        <v>1</v>
      </c>
      <c r="J45" s="86"/>
      <c r="K45" s="86">
        <f>'IBA-prime'!K45*$D$6/$D$7</f>
        <v>3.3333333333333333E-2</v>
      </c>
      <c r="L45" s="86" t="e">
        <v>#NUM!</v>
      </c>
      <c r="M45" s="88" t="e">
        <f>'IBA-prime'!N45</f>
        <v>#NUM!</v>
      </c>
      <c r="N45" s="88" t="e">
        <f t="shared" si="0"/>
        <v>#NUM!</v>
      </c>
      <c r="O45" s="109"/>
      <c r="S45" s="16" t="s">
        <v>86</v>
      </c>
      <c r="T45" s="52"/>
      <c r="U45" s="16" t="s">
        <v>87</v>
      </c>
      <c r="V45" s="50">
        <f>$D$35</f>
        <v>0</v>
      </c>
      <c r="W45" s="16" t="s">
        <v>63</v>
      </c>
      <c r="X45" s="50">
        <f>180-X29</f>
        <v>0</v>
      </c>
      <c r="BA45" s="53"/>
      <c r="DU45" s="42"/>
      <c r="DV45" s="42"/>
      <c r="DW45" s="42"/>
      <c r="DX45" s="42"/>
      <c r="DY45" s="42"/>
      <c r="DZ45" s="42"/>
      <c r="EA45" s="42"/>
      <c r="EB45" s="42"/>
      <c r="EC45" s="42"/>
      <c r="ED45" s="42"/>
    </row>
    <row r="46" spans="1:134" x14ac:dyDescent="0.25">
      <c r="A46" s="2" t="s">
        <v>88</v>
      </c>
      <c r="D46" s="54" t="e">
        <f>$T$61*1000</f>
        <v>#DIV/0!</v>
      </c>
      <c r="E46" s="23" t="s">
        <v>89</v>
      </c>
      <c r="F46" s="51">
        <f>$T$62*1000</f>
        <v>0</v>
      </c>
      <c r="G46" s="23" t="s">
        <v>89</v>
      </c>
      <c r="J46" s="86"/>
      <c r="K46" s="86">
        <f>'IBA-prime'!K46*$D$6/$D$7</f>
        <v>4.1666666666666664E-2</v>
      </c>
      <c r="L46" s="86" t="e">
        <v>#NUM!</v>
      </c>
      <c r="M46" s="88" t="e">
        <f>'IBA-prime'!N46</f>
        <v>#NUM!</v>
      </c>
      <c r="N46" s="88" t="e">
        <f t="shared" si="0"/>
        <v>#NUM!</v>
      </c>
      <c r="O46" s="109"/>
      <c r="S46" s="16" t="s">
        <v>90</v>
      </c>
      <c r="T46" s="55">
        <f>(INDEX($Z$69:$DQ$310,$D$6+1,$C$6+1)+INDEX($Z$69:$DQ$310,$D$7+1,$C$7+1)-INDEX($Z$69:$DQ$310,($D$6+$D$7)+1,($C$6+$C$7)+1))*931.48+$T$47</f>
        <v>11204.938390617232</v>
      </c>
      <c r="U46" s="56" t="s">
        <v>91</v>
      </c>
      <c r="V46" s="52">
        <v>-0.16550269573866241</v>
      </c>
      <c r="AA46" s="16"/>
      <c r="AB46" s="16"/>
      <c r="AK46" s="16"/>
      <c r="AL46" s="16"/>
      <c r="DU46" s="42"/>
      <c r="DV46" s="42"/>
      <c r="DX46" s="42"/>
      <c r="DY46" s="42"/>
      <c r="EA46" s="42"/>
      <c r="EB46" s="42"/>
      <c r="EC46" s="42"/>
      <c r="ED46" s="42"/>
    </row>
    <row r="47" spans="1:134" x14ac:dyDescent="0.25">
      <c r="A47" s="2" t="s">
        <v>92</v>
      </c>
      <c r="D47" s="42">
        <f>$T$70</f>
        <v>14.96</v>
      </c>
      <c r="E47" s="23" t="s">
        <v>20</v>
      </c>
      <c r="F47" s="49">
        <f>$D$7*$D$7*D42/($D$6+$D$7)^2</f>
        <v>12.746982248520711</v>
      </c>
      <c r="G47" s="23" t="s">
        <v>20</v>
      </c>
      <c r="J47" s="86"/>
      <c r="K47" s="86">
        <f>'IBA-prime'!K47*$D$6/$D$7</f>
        <v>4.9999999999999996E-2</v>
      </c>
      <c r="L47" s="86" t="e">
        <v>#NUM!</v>
      </c>
      <c r="M47" s="88" t="e">
        <f>'IBA-prime'!N47</f>
        <v>#NUM!</v>
      </c>
      <c r="N47" s="88" t="e">
        <f t="shared" si="0"/>
        <v>#NUM!</v>
      </c>
      <c r="O47" s="109"/>
      <c r="S47" s="16" t="s">
        <v>93</v>
      </c>
      <c r="T47" s="50">
        <f>$D$9/(1+$D$6/$D$7)</f>
        <v>13.809230769230771</v>
      </c>
      <c r="U47" s="16" t="s">
        <v>94</v>
      </c>
      <c r="V47" s="27">
        <f>COS($V$46)</f>
        <v>0.98633566176753196</v>
      </c>
      <c r="AB47" s="23"/>
      <c r="AL47" s="16"/>
      <c r="DU47" s="42"/>
      <c r="DV47" s="42"/>
      <c r="DX47" s="42"/>
      <c r="DY47" s="42"/>
      <c r="DZ47" s="42"/>
      <c r="EA47" s="42"/>
      <c r="EB47" s="42"/>
      <c r="EC47" s="42"/>
      <c r="ED47" s="42"/>
    </row>
    <row r="48" spans="1:134" x14ac:dyDescent="0.25">
      <c r="A48" s="2" t="s">
        <v>95</v>
      </c>
      <c r="D48" s="42">
        <v>0.95550843012684705</v>
      </c>
      <c r="E48" s="23" t="s">
        <v>20</v>
      </c>
      <c r="F48" s="49">
        <f>$D$6*$D$7*D42/($D$6+$D$7)^2</f>
        <v>1.0622485207100592</v>
      </c>
      <c r="G48" s="23" t="s">
        <v>20</v>
      </c>
      <c r="H48" s="43"/>
      <c r="J48" s="86"/>
      <c r="K48" s="86">
        <f>'IBA-prime'!K48*$D$6/$D$7</f>
        <v>5.8333333333333327E-2</v>
      </c>
      <c r="L48" s="86" t="e">
        <v>#NUM!</v>
      </c>
      <c r="M48" s="88" t="e">
        <f>'IBA-prime'!N48</f>
        <v>#NUM!</v>
      </c>
      <c r="N48" s="88" t="e">
        <f t="shared" si="0"/>
        <v>#NUM!</v>
      </c>
      <c r="O48" s="109"/>
      <c r="T48" s="50"/>
      <c r="U48" s="56" t="s">
        <v>96</v>
      </c>
      <c r="V48" s="52">
        <f>SIN($V$46)</f>
        <v>-0.16474817851983897</v>
      </c>
      <c r="AB48" s="16"/>
      <c r="AL48" s="23"/>
      <c r="DU48" s="42"/>
      <c r="DV48" s="42"/>
      <c r="DW48" s="42"/>
      <c r="DX48" s="42"/>
      <c r="DY48" s="42"/>
      <c r="DZ48" s="42"/>
      <c r="EA48" s="42"/>
      <c r="EB48" s="42"/>
      <c r="EC48" s="42"/>
      <c r="ED48" s="42"/>
    </row>
    <row r="49" spans="1:134" x14ac:dyDescent="0.25">
      <c r="J49" s="86"/>
      <c r="K49" s="86">
        <f>'IBA-prime'!K49*$D$6/$D$7</f>
        <v>6.6666666666666666E-2</v>
      </c>
      <c r="L49" s="86" t="e">
        <v>#NUM!</v>
      </c>
      <c r="M49" s="88" t="e">
        <f>'IBA-prime'!N49</f>
        <v>#NUM!</v>
      </c>
      <c r="N49" s="88" t="e">
        <f t="shared" si="0"/>
        <v>#NUM!</v>
      </c>
      <c r="O49" s="109"/>
      <c r="R49" s="54"/>
      <c r="T49" s="50"/>
      <c r="U49" s="56" t="s">
        <v>97</v>
      </c>
      <c r="V49" s="52">
        <f>SIN($V$46)^2</f>
        <v>2.7141962325604733E-2</v>
      </c>
      <c r="AL49" s="16"/>
    </row>
    <row r="50" spans="1:134" x14ac:dyDescent="0.25">
      <c r="J50" s="86"/>
      <c r="K50" s="86">
        <f>'IBA-prime'!K50*$D$6/$D$7</f>
        <v>7.4999999999999997E-2</v>
      </c>
      <c r="L50" s="86" t="e">
        <v>#NUM!</v>
      </c>
      <c r="M50" s="88" t="e">
        <f>'IBA-prime'!N50</f>
        <v>#NUM!</v>
      </c>
      <c r="N50" s="88" t="e">
        <f t="shared" si="0"/>
        <v>#NUM!</v>
      </c>
      <c r="O50" s="109"/>
      <c r="T50" s="52"/>
      <c r="DU50" s="42"/>
      <c r="DV50" s="42"/>
      <c r="DW50" s="42"/>
      <c r="DX50" s="42"/>
      <c r="DY50" s="42"/>
      <c r="DZ50" s="42"/>
      <c r="EA50" s="42"/>
      <c r="EB50" s="42"/>
      <c r="EC50" s="42"/>
      <c r="ED50" s="42"/>
    </row>
    <row r="51" spans="1:134" x14ac:dyDescent="0.25">
      <c r="A51" s="2" t="s">
        <v>98</v>
      </c>
      <c r="I51" s="42"/>
      <c r="J51" s="86"/>
      <c r="K51" s="86">
        <f>'IBA-prime'!K51*$D$6/$D$7</f>
        <v>8.3333333333333329E-2</v>
      </c>
      <c r="L51" s="86" t="e">
        <v>#NUM!</v>
      </c>
      <c r="M51" s="88" t="e">
        <f>'IBA-prime'!N51</f>
        <v>#NUM!</v>
      </c>
      <c r="N51" s="88" t="e">
        <f t="shared" si="0"/>
        <v>#NUM!</v>
      </c>
      <c r="O51" s="109"/>
      <c r="T51" s="42"/>
      <c r="AF51" s="16" t="s">
        <v>238</v>
      </c>
      <c r="AK51" s="16"/>
      <c r="AL51" s="16"/>
      <c r="DU51" s="42"/>
      <c r="DV51" s="42"/>
      <c r="DW51" s="42"/>
      <c r="DX51" s="42"/>
      <c r="DY51" s="42"/>
      <c r="DZ51" s="42"/>
      <c r="EA51" s="42"/>
      <c r="EB51" s="42"/>
      <c r="EC51" s="42"/>
      <c r="ED51" s="42"/>
    </row>
    <row r="52" spans="1:134" x14ac:dyDescent="0.25">
      <c r="C52" s="16" t="s">
        <v>99</v>
      </c>
      <c r="D52" s="27">
        <v>2</v>
      </c>
      <c r="E52" s="16" t="s">
        <v>100</v>
      </c>
      <c r="J52" s="86"/>
      <c r="K52" s="86">
        <f>'IBA-prime'!K52*$D$6/$D$7</f>
        <v>9.1666666666666674E-2</v>
      </c>
      <c r="L52" s="86" t="e">
        <v>#NUM!</v>
      </c>
      <c r="M52" s="88" t="e">
        <f>'IBA-prime'!N52</f>
        <v>#NUM!</v>
      </c>
      <c r="N52" s="88" t="e">
        <f t="shared" si="0"/>
        <v>#NUM!</v>
      </c>
      <c r="O52" s="109"/>
      <c r="AL52" s="23"/>
    </row>
    <row r="53" spans="1:134" x14ac:dyDescent="0.25">
      <c r="A53" s="2" t="s">
        <v>101</v>
      </c>
      <c r="C53" s="27">
        <f>C6</f>
        <v>0</v>
      </c>
      <c r="D53" s="27">
        <f>D6</f>
        <v>1</v>
      </c>
      <c r="E53" s="27" t="str">
        <f>INDEX($Z$69:$DQ$310,$D$53+1,1)&amp;INDEX($Z$69:$DQ$310,1,$C$53+1+1)</f>
        <v>1n</v>
      </c>
      <c r="J53" s="86"/>
      <c r="K53" s="86">
        <f>'IBA-prime'!K53*$D$6/$D$7</f>
        <v>9.9999999999999992E-2</v>
      </c>
      <c r="L53" s="86" t="e">
        <v>#NUM!</v>
      </c>
      <c r="M53" s="88" t="e">
        <f>'IBA-prime'!N53</f>
        <v>#NUM!</v>
      </c>
      <c r="N53" s="88" t="e">
        <f t="shared" si="0"/>
        <v>#NUM!</v>
      </c>
      <c r="O53" s="109"/>
      <c r="T53" s="57" t="s">
        <v>102</v>
      </c>
      <c r="AL53" s="16"/>
    </row>
    <row r="54" spans="1:134" x14ac:dyDescent="0.25">
      <c r="A54" s="2" t="s">
        <v>103</v>
      </c>
      <c r="C54" s="27">
        <f>C7</f>
        <v>6</v>
      </c>
      <c r="D54" s="27">
        <f>D7</f>
        <v>12</v>
      </c>
      <c r="E54" s="27" t="str">
        <f>INDEX($Z$69:$DQ$310,$D$54+1,1)&amp;INDEX($Z$69:$DQ$310,1,$C$54+1+1)</f>
        <v>12C</v>
      </c>
      <c r="J54" s="86"/>
      <c r="K54" s="86">
        <f>'IBA-prime'!K54*$D$6/$D$7</f>
        <v>0.10833333333333334</v>
      </c>
      <c r="L54" s="86" t="e">
        <v>#NUM!</v>
      </c>
      <c r="M54" s="88" t="e">
        <f>'IBA-prime'!N54</f>
        <v>#NUM!</v>
      </c>
      <c r="N54" s="88" t="e">
        <f t="shared" si="0"/>
        <v>#NUM!</v>
      </c>
      <c r="O54" s="109"/>
      <c r="T54" s="16" t="s">
        <v>104</v>
      </c>
      <c r="BX54" s="43"/>
      <c r="BY54" s="43"/>
      <c r="EA54" s="42"/>
    </row>
    <row r="55" spans="1:134" x14ac:dyDescent="0.25">
      <c r="A55" s="111" t="s">
        <v>105</v>
      </c>
      <c r="B55" s="109"/>
      <c r="C55" s="91">
        <f>H6</f>
        <v>42</v>
      </c>
      <c r="D55" s="91">
        <f>H7</f>
        <v>96</v>
      </c>
      <c r="E55" s="91" t="str">
        <f>INDEX($Z$69:$DQ$310,$D$55+1,1)&amp;INDEX($Z$69:$DQ$310,1,$C$55+1+1)</f>
        <v>96Mo</v>
      </c>
      <c r="F55" s="112"/>
      <c r="G55" s="109"/>
      <c r="H55" s="109"/>
      <c r="I55" s="109"/>
      <c r="J55" s="86"/>
      <c r="K55" s="86">
        <f>'IBA-prime'!K55*$D$6/$D$7</f>
        <v>0.11666666666666665</v>
      </c>
      <c r="L55" s="86" t="e">
        <v>#NUM!</v>
      </c>
      <c r="M55" s="88" t="e">
        <f>'IBA-prime'!N55</f>
        <v>#NUM!</v>
      </c>
      <c r="N55" s="88" t="e">
        <f t="shared" si="0"/>
        <v>#NUM!</v>
      </c>
      <c r="O55" s="109"/>
      <c r="P55" s="109"/>
      <c r="Q55" s="109"/>
      <c r="R55" s="109"/>
      <c r="S55" s="113" t="s">
        <v>106</v>
      </c>
      <c r="T55" s="91">
        <f>($D$6*$D$32*($D$9/$T$30))/(($D$6+$D$7)*($D$8+$D$32))</f>
        <v>8.6048135517741986E-2</v>
      </c>
      <c r="U55" s="27">
        <f>(T55*T57)</f>
        <v>2.3185557556261265E-2</v>
      </c>
      <c r="V55" s="23" t="s">
        <v>107</v>
      </c>
      <c r="W55" s="15">
        <v>0.53401494390094484</v>
      </c>
      <c r="BX55" s="43"/>
      <c r="BY55" s="43"/>
      <c r="DU55" s="42"/>
      <c r="DV55" s="42"/>
      <c r="DW55" s="42"/>
      <c r="DX55" s="42"/>
      <c r="DY55" s="42"/>
      <c r="EB55" s="42"/>
      <c r="EC55" s="42"/>
      <c r="ED55" s="42"/>
    </row>
    <row r="56" spans="1:134" x14ac:dyDescent="0.25">
      <c r="A56" s="111" t="s">
        <v>83</v>
      </c>
      <c r="B56" s="109"/>
      <c r="C56" s="109"/>
      <c r="D56" s="114">
        <f>D10</f>
        <v>0</v>
      </c>
      <c r="E56" s="113" t="s">
        <v>23</v>
      </c>
      <c r="F56" s="112"/>
      <c r="G56" s="109"/>
      <c r="H56" s="109"/>
      <c r="I56" s="109"/>
      <c r="J56" s="86"/>
      <c r="K56" s="86">
        <f>'IBA-prime'!K56*$D$6/$D$7</f>
        <v>0.125</v>
      </c>
      <c r="L56" s="86" t="e">
        <v>#NUM!</v>
      </c>
      <c r="M56" s="88" t="e">
        <f>'IBA-prime'!N56</f>
        <v>#NUM!</v>
      </c>
      <c r="N56" s="88" t="e">
        <f t="shared" si="0"/>
        <v>#NUM!</v>
      </c>
      <c r="O56" s="109"/>
      <c r="P56" s="109"/>
      <c r="Q56" s="109"/>
      <c r="R56" s="109"/>
      <c r="S56" s="113" t="s">
        <v>108</v>
      </c>
      <c r="T56" s="91">
        <f>($D$6*$D$8*($D$9/$T$30))/(($D$6+$D$7)*($D$8+$D$32))</f>
        <v>3.8243615785663106E-2</v>
      </c>
      <c r="U56" s="27">
        <f>(T56*T58)</f>
        <v>2.3185557556261265E-2</v>
      </c>
      <c r="V56" s="23" t="s">
        <v>109</v>
      </c>
      <c r="W56" s="15">
        <v>3.8143924564353206E-2</v>
      </c>
      <c r="AL56" s="16"/>
      <c r="AM56" s="23"/>
      <c r="BX56" s="43"/>
      <c r="BY56" s="43"/>
    </row>
    <row r="57" spans="1:134" x14ac:dyDescent="0.25">
      <c r="A57" s="111" t="s">
        <v>19</v>
      </c>
      <c r="B57" s="109"/>
      <c r="C57" s="109"/>
      <c r="D57" s="95">
        <f>D9</f>
        <v>14.96</v>
      </c>
      <c r="E57" s="115" t="s">
        <v>20</v>
      </c>
      <c r="F57" s="112"/>
      <c r="G57" s="109"/>
      <c r="H57" s="109"/>
      <c r="I57" s="109"/>
      <c r="J57" s="86"/>
      <c r="K57" s="86">
        <f>'IBA-prime'!K57*$D$6/$D$7</f>
        <v>0.13333333333333333</v>
      </c>
      <c r="L57" s="86" t="e">
        <v>#NUM!</v>
      </c>
      <c r="M57" s="88" t="e">
        <f>'IBA-prime'!N57</f>
        <v>#NUM!</v>
      </c>
      <c r="N57" s="88" t="e">
        <f t="shared" si="0"/>
        <v>#NUM!</v>
      </c>
      <c r="O57" s="109"/>
      <c r="P57" s="109"/>
      <c r="Q57" s="109"/>
      <c r="R57" s="109"/>
      <c r="S57" s="113" t="s">
        <v>110</v>
      </c>
      <c r="T57" s="91">
        <f>(($D$7*$D$8)/(($D$6+$D$7)*($D$8+$D$32)))*(1+($D$6*$D$16)/($D$7*$T$30))</f>
        <v>0.26944869190664461</v>
      </c>
      <c r="U57" s="27">
        <f>SUM(T55:T58)</f>
        <v>1</v>
      </c>
      <c r="V57" s="23" t="s">
        <v>111</v>
      </c>
      <c r="W57" s="15">
        <v>2.852274210231346E-2</v>
      </c>
      <c r="BX57" s="43"/>
      <c r="BY57" s="43"/>
      <c r="DU57" s="42"/>
      <c r="DV57" s="42"/>
      <c r="DW57" s="42"/>
      <c r="DX57" s="42"/>
      <c r="DY57" s="42"/>
      <c r="DZ57" s="42"/>
      <c r="EA57" s="42"/>
      <c r="EB57" s="42"/>
      <c r="EC57" s="42"/>
      <c r="ED57" s="42"/>
    </row>
    <row r="58" spans="1:134" x14ac:dyDescent="0.25">
      <c r="A58" s="111" t="s">
        <v>24</v>
      </c>
      <c r="B58" s="109"/>
      <c r="C58" s="109"/>
      <c r="D58" s="91">
        <f>D11</f>
        <v>1E-4</v>
      </c>
      <c r="E58" s="115" t="s">
        <v>25</v>
      </c>
      <c r="F58" s="112"/>
      <c r="G58" s="109"/>
      <c r="H58" s="109"/>
      <c r="I58" s="109"/>
      <c r="J58" s="86"/>
      <c r="K58" s="86">
        <f>'IBA-prime'!K58*$D$6/$D$7</f>
        <v>0.14166666666666666</v>
      </c>
      <c r="L58" s="86" t="e">
        <v>#NUM!</v>
      </c>
      <c r="M58" s="88" t="e">
        <f>'IBA-prime'!N58</f>
        <v>#NUM!</v>
      </c>
      <c r="N58" s="88" t="e">
        <f t="shared" si="0"/>
        <v>#NUM!</v>
      </c>
      <c r="O58" s="109"/>
      <c r="P58" s="109"/>
      <c r="Q58" s="109"/>
      <c r="R58" s="109"/>
      <c r="S58" s="113" t="s">
        <v>112</v>
      </c>
      <c r="T58" s="91">
        <f>(($D$7*$D$32)/(($D$6+$D$7)*($D$8+$D$32)))*(1+($D$6*$D$16)/($D$7*$T$30))</f>
        <v>0.60625955678995036</v>
      </c>
      <c r="W58" s="15">
        <v>0.39931838943238845</v>
      </c>
      <c r="AB58" s="16" t="s">
        <v>113</v>
      </c>
      <c r="AC58" s="27" t="str">
        <f>("("&amp;AC61&amp;","&amp;AC64&amp;")")</f>
        <v>(1n,4He)</v>
      </c>
      <c r="AK58" s="16"/>
      <c r="AL58" s="16"/>
      <c r="BX58" s="43"/>
      <c r="BY58" s="43"/>
      <c r="DU58" s="42"/>
      <c r="DV58" s="42"/>
      <c r="DW58" s="42"/>
      <c r="DX58" s="42"/>
      <c r="DY58" s="42"/>
      <c r="DZ58" s="42"/>
      <c r="EA58" s="42"/>
      <c r="EB58" s="42"/>
      <c r="EC58" s="42"/>
      <c r="ED58" s="42"/>
    </row>
    <row r="59" spans="1:134" x14ac:dyDescent="0.25">
      <c r="J59" s="86"/>
      <c r="K59" s="86">
        <f>'IBA-prime'!K59*$D$6/$D$7</f>
        <v>0.15</v>
      </c>
      <c r="L59" s="86" t="e">
        <v>#NUM!</v>
      </c>
      <c r="M59" s="88" t="e">
        <f>'IBA-prime'!N59</f>
        <v>#NUM!</v>
      </c>
      <c r="N59" s="88" t="e">
        <f t="shared" si="0"/>
        <v>#NUM!</v>
      </c>
      <c r="O59" s="109"/>
      <c r="S59" s="16" t="s">
        <v>114</v>
      </c>
      <c r="T59" s="27">
        <f>(14.395/1000000)/100000000</f>
        <v>1.4395000000000001E-13</v>
      </c>
      <c r="U59" s="23" t="s">
        <v>115</v>
      </c>
      <c r="AL59" s="16"/>
      <c r="BX59" s="43"/>
      <c r="BY59" s="43"/>
      <c r="DU59" s="42"/>
      <c r="DV59" s="42"/>
      <c r="DW59" s="42"/>
      <c r="DX59" s="42"/>
      <c r="DY59" s="42"/>
      <c r="DZ59" s="42"/>
      <c r="EA59" s="42"/>
      <c r="EB59" s="42"/>
      <c r="EC59" s="42"/>
      <c r="ED59" s="42"/>
    </row>
    <row r="60" spans="1:134" x14ac:dyDescent="0.25">
      <c r="A60" s="2" t="s">
        <v>116</v>
      </c>
      <c r="D60" s="57" t="s">
        <v>12</v>
      </c>
      <c r="J60" s="86"/>
      <c r="K60" s="86">
        <f>'IBA-prime'!K60*$D$6/$D$7</f>
        <v>0.15833333333333333</v>
      </c>
      <c r="L60" s="86" t="e">
        <v>#NUM!</v>
      </c>
      <c r="M60" s="88" t="e">
        <f>'IBA-prime'!N60</f>
        <v>#NUM!</v>
      </c>
      <c r="N60" s="88" t="e">
        <f t="shared" si="0"/>
        <v>#NUM!</v>
      </c>
      <c r="O60" s="109"/>
      <c r="U60" s="52"/>
      <c r="V60" s="42"/>
      <c r="W60" s="58"/>
      <c r="AB60" s="16" t="s">
        <v>117</v>
      </c>
      <c r="AC60" s="23" t="s">
        <v>118</v>
      </c>
      <c r="AL60" s="23"/>
      <c r="AS60" s="53"/>
      <c r="BX60" s="43"/>
      <c r="BY60" s="43"/>
      <c r="DU60" s="42"/>
      <c r="DV60" s="42"/>
      <c r="DW60" s="42"/>
      <c r="DX60" s="42"/>
      <c r="DY60" s="42"/>
      <c r="EA60" s="42"/>
      <c r="EB60" s="42"/>
      <c r="EC60" s="42"/>
      <c r="ED60" s="42"/>
    </row>
    <row r="61" spans="1:134" x14ac:dyDescent="0.25">
      <c r="A61" s="2" t="s">
        <v>95</v>
      </c>
      <c r="D61" s="42">
        <f>$T$76</f>
        <v>3.1867455621301777</v>
      </c>
      <c r="E61" s="23" t="s">
        <v>20</v>
      </c>
      <c r="J61" s="86"/>
      <c r="K61" s="86">
        <f>'IBA-prime'!K61*$D$6/$D$7</f>
        <v>0.16666666666666666</v>
      </c>
      <c r="L61" s="86" t="e">
        <v>#NUM!</v>
      </c>
      <c r="M61" s="88" t="e">
        <f>'IBA-prime'!N61</f>
        <v>#NUM!</v>
      </c>
      <c r="N61" s="88" t="e">
        <f t="shared" si="0"/>
        <v>#NUM!</v>
      </c>
      <c r="O61" s="109"/>
      <c r="R61" s="16" t="s">
        <v>119</v>
      </c>
      <c r="S61" s="16" t="s">
        <v>120</v>
      </c>
      <c r="T61" s="42" t="e">
        <f>(U61*U62/U63)/1E-24</f>
        <v>#DIV/0!</v>
      </c>
      <c r="U61" s="27">
        <f>($C$6*$C$7*$T$59/(2*$D$9))^2</f>
        <v>0</v>
      </c>
      <c r="V61" s="27">
        <f>($C$6*$C$7*$T$59/(2*$F$42))^2</f>
        <v>0</v>
      </c>
      <c r="AB61" s="57" t="s">
        <v>121</v>
      </c>
      <c r="AC61" s="27" t="str">
        <f>INDEX($Z$69:$DQ$310,$D$6+1,1)&amp;INDEX($Z$69:$DQ$310,1,$C$6+1+1)</f>
        <v>1n</v>
      </c>
      <c r="AL61" s="16"/>
      <c r="BX61" s="43"/>
      <c r="BY61" s="43"/>
    </row>
    <row r="62" spans="1:134" x14ac:dyDescent="0.25">
      <c r="A62" s="2" t="s">
        <v>122</v>
      </c>
      <c r="D62" s="42">
        <f>B106</f>
        <v>3.1866549528629426</v>
      </c>
      <c r="E62" s="23" t="s">
        <v>123</v>
      </c>
      <c r="J62" s="86"/>
      <c r="K62" s="86">
        <f>'IBA-prime'!K62*$D$6/$D$7</f>
        <v>0.17500000000000002</v>
      </c>
      <c r="L62" s="86" t="e">
        <v>#NUM!</v>
      </c>
      <c r="M62" s="88" t="e">
        <f>'IBA-prime'!N62</f>
        <v>#NUM!</v>
      </c>
      <c r="N62" s="88" t="e">
        <f t="shared" si="0"/>
        <v>#NUM!</v>
      </c>
      <c r="O62" s="109"/>
      <c r="R62" s="54"/>
      <c r="S62" s="16" t="s">
        <v>124</v>
      </c>
      <c r="T62" s="27">
        <f>(V61/V63)/1E-24</f>
        <v>0</v>
      </c>
      <c r="U62" s="27">
        <f>($W$71+(1-($D$6/$D$7)^2*$W$73)^0.5)^2</f>
        <v>4</v>
      </c>
      <c r="AB62" s="16" t="s">
        <v>125</v>
      </c>
      <c r="AC62" s="27" t="str">
        <f>INDEX($Z$69:$DQ$310,$D$7+1,1)&amp;INDEX($Z$69:$DQ$310,1,$C$7+1+1)</f>
        <v>12C</v>
      </c>
      <c r="AE62" s="23" t="s">
        <v>126</v>
      </c>
      <c r="BX62" s="43"/>
      <c r="BY62" s="43"/>
    </row>
    <row r="63" spans="1:134" x14ac:dyDescent="0.25">
      <c r="A63" s="2" t="s">
        <v>127</v>
      </c>
      <c r="D63" s="27" t="str">
        <f>$E$54</f>
        <v>12C</v>
      </c>
      <c r="I63" s="50"/>
      <c r="J63" s="86"/>
      <c r="K63" s="86">
        <f>'IBA-prime'!K63*$D$6/$D$7</f>
        <v>0.18333333333333335</v>
      </c>
      <c r="L63" s="86" t="e">
        <v>#NUM!</v>
      </c>
      <c r="M63" s="88" t="e">
        <f>'IBA-prime'!N63</f>
        <v>#NUM!</v>
      </c>
      <c r="N63" s="88" t="e">
        <f t="shared" si="0"/>
        <v>#NUM!</v>
      </c>
      <c r="O63" s="109"/>
      <c r="R63" s="54"/>
      <c r="U63" s="27">
        <f>($W$72^4*(1-($D$6/$D$7)^2*$W$73)^0.5)</f>
        <v>0</v>
      </c>
      <c r="V63" s="27">
        <v>3.9675720422815339</v>
      </c>
      <c r="AB63" s="16" t="s">
        <v>128</v>
      </c>
      <c r="AC63" s="27" t="str">
        <f>INDEX($Z$69:$DQ$310,($D$6+$D$7)+1,1)&amp;INDEX($Z$69:$DQ$310,1,($C$6+$C$7+1)+1)</f>
        <v>13C</v>
      </c>
      <c r="AE63" s="42">
        <v>12.859379473599907</v>
      </c>
      <c r="AK63" s="16"/>
      <c r="AL63" s="16"/>
      <c r="BX63" s="43"/>
      <c r="BY63" s="43"/>
      <c r="DU63" s="42"/>
      <c r="DV63" s="42"/>
      <c r="DW63" s="42"/>
      <c r="DX63" s="42"/>
      <c r="DY63" s="42"/>
      <c r="DZ63" s="42"/>
      <c r="EA63" s="42"/>
      <c r="EB63" s="42"/>
      <c r="EC63" s="42"/>
      <c r="ED63" s="42"/>
    </row>
    <row r="64" spans="1:134" x14ac:dyDescent="0.25">
      <c r="A64" s="2" t="s">
        <v>22</v>
      </c>
      <c r="D64" s="27">
        <f>$D$56</f>
        <v>0</v>
      </c>
      <c r="E64" s="23" t="s">
        <v>23</v>
      </c>
      <c r="J64" s="86"/>
      <c r="K64" s="86">
        <f>'IBA-prime'!K64*$D$6/$D$7</f>
        <v>0.19166666666666665</v>
      </c>
      <c r="L64" s="86" t="e">
        <v>#NUM!</v>
      </c>
      <c r="M64" s="88" t="e">
        <f>'IBA-prime'!N64</f>
        <v>#NUM!</v>
      </c>
      <c r="N64" s="88" t="e">
        <f t="shared" si="0"/>
        <v>#NUM!</v>
      </c>
      <c r="O64" s="109"/>
      <c r="R64" s="54"/>
      <c r="V64" s="42"/>
      <c r="AB64" s="16" t="s">
        <v>129</v>
      </c>
      <c r="AC64" s="27" t="str">
        <f>INDEX($Z$69:$DQ$310,$D$8+1,1)&amp;INDEX($Z$69:$DQ$310,1,$C$8+1+1)</f>
        <v>4He</v>
      </c>
      <c r="AL64" s="23"/>
      <c r="BX64" s="43"/>
      <c r="BY64" s="43"/>
    </row>
    <row r="65" spans="1:134" x14ac:dyDescent="0.25">
      <c r="A65" s="2" t="s">
        <v>78</v>
      </c>
      <c r="D65" s="27" t="str">
        <f>$E$53</f>
        <v>1n</v>
      </c>
      <c r="J65" s="86"/>
      <c r="K65" s="86">
        <f>'IBA-prime'!K65*$D$6/$D$7</f>
        <v>0.19999999999999998</v>
      </c>
      <c r="L65" s="86" t="e">
        <v>#NUM!</v>
      </c>
      <c r="M65" s="88" t="e">
        <f>'IBA-prime'!N65</f>
        <v>#NUM!</v>
      </c>
      <c r="N65" s="88" t="e">
        <f t="shared" si="0"/>
        <v>#NUM!</v>
      </c>
      <c r="O65" s="109"/>
      <c r="V65" s="54"/>
      <c r="AB65" s="16" t="s">
        <v>130</v>
      </c>
      <c r="AC65" s="27" t="str">
        <f>INDEX($Z$69:$DQ$310,$D$32+1,1)&amp;INDEX($Z$69:$DQ$310,1,$B$32+1+1)</f>
        <v>9Be</v>
      </c>
      <c r="AD65" s="42"/>
      <c r="AL65" s="16"/>
    </row>
    <row r="66" spans="1:134" x14ac:dyDescent="0.25">
      <c r="A66" s="2" t="s">
        <v>92</v>
      </c>
      <c r="D66" s="42">
        <f>$D$9*V27</f>
        <v>14.96</v>
      </c>
      <c r="E66" s="42" t="str">
        <f>IF(ISERR($W$76)=1,$S$87,$S$86)</f>
        <v>MeV at DET. ANGLE</v>
      </c>
      <c r="J66" s="86"/>
      <c r="K66" s="86">
        <f>'IBA-prime'!K66*$D$6/$D$7</f>
        <v>0.20833333333333334</v>
      </c>
      <c r="L66" s="86" t="e">
        <v>#NUM!</v>
      </c>
      <c r="M66" s="88" t="e">
        <f>'IBA-prime'!N66</f>
        <v>#NUM!</v>
      </c>
      <c r="N66" s="88" t="e">
        <f t="shared" si="0"/>
        <v>#NUM!</v>
      </c>
      <c r="O66" s="109"/>
      <c r="V66" s="50"/>
      <c r="Z66" s="16" t="s">
        <v>131</v>
      </c>
      <c r="AD66" s="42"/>
      <c r="BS66" s="43"/>
      <c r="BT66" s="43"/>
    </row>
    <row r="67" spans="1:134" x14ac:dyDescent="0.25">
      <c r="A67" s="12" t="s">
        <v>132</v>
      </c>
      <c r="D67" s="15" t="e">
        <f>B95</f>
        <v>#DIV/0!</v>
      </c>
      <c r="E67" s="42" t="str">
        <f>IF(ISERR($W$76)=1,$S$87,$S$86)</f>
        <v>MeV at DET. ANGLE</v>
      </c>
      <c r="J67" s="86"/>
      <c r="K67" s="86">
        <f>'IBA-prime'!K67*$D$6/$D$7</f>
        <v>0.21666666666666667</v>
      </c>
      <c r="L67" s="86" t="e">
        <v>#NUM!</v>
      </c>
      <c r="M67" s="88" t="e">
        <f>'IBA-prime'!N67</f>
        <v>#NUM!</v>
      </c>
      <c r="N67" s="88" t="e">
        <f t="shared" si="0"/>
        <v>#NUM!</v>
      </c>
      <c r="O67" s="109"/>
      <c r="W67" s="16" t="s">
        <v>133</v>
      </c>
      <c r="X67" s="16" t="s">
        <v>134</v>
      </c>
      <c r="AA67" s="16" t="s">
        <v>135</v>
      </c>
      <c r="DU67" s="42"/>
      <c r="DV67" s="42"/>
      <c r="DW67" s="42"/>
      <c r="DX67" s="42"/>
      <c r="DY67" s="42"/>
      <c r="EA67" s="42"/>
      <c r="EB67" s="42"/>
      <c r="EC67" s="42"/>
      <c r="ED67" s="42"/>
    </row>
    <row r="68" spans="1:134" x14ac:dyDescent="0.25">
      <c r="A68" s="2" t="s">
        <v>136</v>
      </c>
      <c r="D68" s="54">
        <f>IF(ISERR($W$76)=1,180,$W$76)</f>
        <v>180</v>
      </c>
      <c r="E68" s="23" t="s">
        <v>23</v>
      </c>
      <c r="J68" s="89"/>
      <c r="K68" s="86">
        <f>'IBA-prime'!K68*$D$6/$D$7</f>
        <v>0.22500000000000001</v>
      </c>
      <c r="L68" s="86" t="e">
        <v>#NUM!</v>
      </c>
      <c r="M68" s="88" t="e">
        <f>'IBA-prime'!N68</f>
        <v>#NUM!</v>
      </c>
      <c r="N68" s="88" t="e">
        <f t="shared" si="0"/>
        <v>#NUM!</v>
      </c>
      <c r="S68" s="23" t="s">
        <v>20</v>
      </c>
      <c r="V68" s="16" t="s">
        <v>137</v>
      </c>
      <c r="Z68" s="16" t="s">
        <v>138</v>
      </c>
      <c r="AA68" s="27">
        <v>0</v>
      </c>
      <c r="AB68" s="59" t="s">
        <v>139</v>
      </c>
      <c r="AC68" s="59" t="s">
        <v>140</v>
      </c>
      <c r="AD68" s="59" t="s">
        <v>141</v>
      </c>
      <c r="AE68" s="59" t="s">
        <v>142</v>
      </c>
      <c r="AF68" s="59" t="s">
        <v>143</v>
      </c>
      <c r="AG68" s="59" t="s">
        <v>144</v>
      </c>
      <c r="AH68" s="59" t="s">
        <v>145</v>
      </c>
      <c r="AI68" s="59" t="s">
        <v>146</v>
      </c>
      <c r="AJ68" s="59" t="s">
        <v>147</v>
      </c>
      <c r="AK68" s="59" t="s">
        <v>148</v>
      </c>
      <c r="AL68" s="59" t="s">
        <v>149</v>
      </c>
      <c r="AM68" s="59" t="s">
        <v>150</v>
      </c>
      <c r="AN68" s="59" t="s">
        <v>151</v>
      </c>
      <c r="AO68" s="59" t="s">
        <v>152</v>
      </c>
      <c r="AP68" s="59" t="s">
        <v>153</v>
      </c>
      <c r="AQ68" s="59" t="s">
        <v>154</v>
      </c>
      <c r="AR68" s="59" t="s">
        <v>155</v>
      </c>
      <c r="AS68" s="59" t="s">
        <v>156</v>
      </c>
      <c r="AT68" s="59" t="s">
        <v>157</v>
      </c>
      <c r="AU68" s="59" t="s">
        <v>158</v>
      </c>
      <c r="AV68" s="16" t="s">
        <v>159</v>
      </c>
      <c r="AW68" s="16" t="s">
        <v>160</v>
      </c>
      <c r="AX68" s="16" t="s">
        <v>161</v>
      </c>
      <c r="AY68" s="16" t="s">
        <v>162</v>
      </c>
      <c r="AZ68" s="16" t="s">
        <v>163</v>
      </c>
      <c r="BA68" s="16" t="s">
        <v>164</v>
      </c>
      <c r="BB68" s="16" t="s">
        <v>165</v>
      </c>
      <c r="BC68" s="59" t="s">
        <v>166</v>
      </c>
      <c r="BD68" s="16" t="s">
        <v>167</v>
      </c>
      <c r="BE68" s="16" t="s">
        <v>168</v>
      </c>
      <c r="BF68" s="16" t="s">
        <v>169</v>
      </c>
      <c r="BG68" s="16" t="s">
        <v>170</v>
      </c>
      <c r="BH68" s="16" t="s">
        <v>171</v>
      </c>
      <c r="BI68" s="16" t="s">
        <v>172</v>
      </c>
      <c r="BJ68" s="16" t="s">
        <v>173</v>
      </c>
      <c r="BK68" s="16" t="s">
        <v>174</v>
      </c>
      <c r="BL68" s="16" t="s">
        <v>175</v>
      </c>
      <c r="BM68" s="16" t="s">
        <v>176</v>
      </c>
      <c r="BN68" s="16" t="s">
        <v>177</v>
      </c>
      <c r="BO68" s="16" t="s">
        <v>178</v>
      </c>
      <c r="BP68" s="16" t="s">
        <v>179</v>
      </c>
      <c r="BQ68" s="16" t="s">
        <v>180</v>
      </c>
      <c r="BR68" s="16" t="s">
        <v>181</v>
      </c>
      <c r="BS68" s="16" t="s">
        <v>182</v>
      </c>
      <c r="BT68" s="16" t="s">
        <v>183</v>
      </c>
      <c r="BU68" s="16" t="s">
        <v>184</v>
      </c>
      <c r="BV68" s="16" t="s">
        <v>185</v>
      </c>
      <c r="BW68" s="16" t="s">
        <v>186</v>
      </c>
      <c r="BX68" s="16" t="s">
        <v>187</v>
      </c>
      <c r="BY68" s="16" t="s">
        <v>188</v>
      </c>
      <c r="BZ68" s="16" t="s">
        <v>189</v>
      </c>
      <c r="CA68" s="16" t="s">
        <v>190</v>
      </c>
      <c r="CB68" s="16" t="s">
        <v>191</v>
      </c>
      <c r="CC68" s="16" t="s">
        <v>192</v>
      </c>
      <c r="CD68" s="16" t="s">
        <v>193</v>
      </c>
      <c r="CE68" s="16" t="s">
        <v>194</v>
      </c>
      <c r="CF68" s="16" t="s">
        <v>195</v>
      </c>
      <c r="CG68" s="16" t="s">
        <v>196</v>
      </c>
      <c r="CH68" s="16" t="s">
        <v>197</v>
      </c>
      <c r="CI68" s="16" t="s">
        <v>198</v>
      </c>
      <c r="CJ68" s="16" t="s">
        <v>199</v>
      </c>
      <c r="CK68" s="16" t="s">
        <v>200</v>
      </c>
      <c r="CL68" s="16" t="s">
        <v>201</v>
      </c>
      <c r="CM68" s="16" t="s">
        <v>202</v>
      </c>
      <c r="CN68" s="16" t="s">
        <v>203</v>
      </c>
      <c r="CO68" s="16" t="s">
        <v>204</v>
      </c>
      <c r="CP68" s="16" t="s">
        <v>205</v>
      </c>
      <c r="CQ68" s="16" t="s">
        <v>206</v>
      </c>
      <c r="CR68" s="16" t="s">
        <v>207</v>
      </c>
      <c r="CS68" s="16" t="s">
        <v>208</v>
      </c>
      <c r="CT68" s="16" t="s">
        <v>209</v>
      </c>
      <c r="CU68" s="16" t="s">
        <v>210</v>
      </c>
      <c r="CV68" s="16" t="s">
        <v>211</v>
      </c>
      <c r="CW68" s="16" t="s">
        <v>212</v>
      </c>
      <c r="CX68" s="16" t="s">
        <v>213</v>
      </c>
      <c r="CY68" s="16" t="s">
        <v>214</v>
      </c>
      <c r="CZ68" s="16" t="s">
        <v>215</v>
      </c>
      <c r="DA68" s="16" t="s">
        <v>216</v>
      </c>
      <c r="DB68" s="16" t="s">
        <v>217</v>
      </c>
      <c r="DC68" s="16" t="s">
        <v>218</v>
      </c>
      <c r="DD68" s="16" t="s">
        <v>219</v>
      </c>
      <c r="DE68" s="16" t="s">
        <v>220</v>
      </c>
      <c r="DF68" s="16" t="s">
        <v>221</v>
      </c>
      <c r="DG68" s="16" t="s">
        <v>222</v>
      </c>
      <c r="DH68" s="16" t="s">
        <v>223</v>
      </c>
      <c r="DI68" s="16" t="s">
        <v>224</v>
      </c>
      <c r="DJ68" s="16" t="s">
        <v>225</v>
      </c>
      <c r="DK68" s="16" t="s">
        <v>226</v>
      </c>
      <c r="DL68" s="16" t="s">
        <v>227</v>
      </c>
      <c r="DM68" s="16" t="s">
        <v>228</v>
      </c>
      <c r="DN68" s="16" t="s">
        <v>229</v>
      </c>
      <c r="DO68" s="16" t="s">
        <v>230</v>
      </c>
      <c r="DP68" s="27">
        <v>93</v>
      </c>
      <c r="DQ68" s="27">
        <v>94</v>
      </c>
    </row>
    <row r="69" spans="1:134" x14ac:dyDescent="0.25">
      <c r="A69" s="2" t="s">
        <v>231</v>
      </c>
      <c r="D69" s="27">
        <f>20.731*(C53*C54*(D53+D54)/(2*D54*D57))^2/COS(D56*3.14159/180)^3</f>
        <v>0</v>
      </c>
      <c r="E69" s="23" t="s">
        <v>89</v>
      </c>
      <c r="J69" s="86"/>
      <c r="K69" s="86">
        <f>'IBA-prime'!K69*$D$6/$D$7</f>
        <v>0.23333333333333331</v>
      </c>
      <c r="L69" s="86" t="e">
        <v>#NUM!</v>
      </c>
      <c r="M69" s="88" t="e">
        <f>'IBA-prime'!N69</f>
        <v>#NUM!</v>
      </c>
      <c r="N69" s="88" t="e">
        <f t="shared" si="0"/>
        <v>#NUM!</v>
      </c>
      <c r="S69" s="16" t="s">
        <v>232</v>
      </c>
      <c r="T69" s="42">
        <f>(($W$71+($T$29^2-$W$73)^0.5)/(1+$T$29))^2</f>
        <v>1</v>
      </c>
      <c r="V69" s="16" t="s">
        <v>233</v>
      </c>
      <c r="W69" s="27">
        <f>$D$43</f>
        <v>0</v>
      </c>
      <c r="X69" s="50">
        <f>$D$43+ASIN($D$6*W72/$D$7)</f>
        <v>0</v>
      </c>
      <c r="Z69" s="16" t="s">
        <v>118</v>
      </c>
      <c r="AA69" s="16" t="s">
        <v>234</v>
      </c>
      <c r="AB69" s="16" t="s">
        <v>235</v>
      </c>
      <c r="AC69" s="16" t="s">
        <v>236</v>
      </c>
      <c r="AD69" s="16" t="s">
        <v>237</v>
      </c>
      <c r="AE69" s="16" t="s">
        <v>238</v>
      </c>
      <c r="AF69" s="16" t="s">
        <v>108</v>
      </c>
      <c r="AG69" s="16" t="s">
        <v>110</v>
      </c>
      <c r="AH69" s="16" t="s">
        <v>239</v>
      </c>
      <c r="AI69" s="16" t="s">
        <v>240</v>
      </c>
      <c r="AJ69" s="16" t="s">
        <v>241</v>
      </c>
      <c r="AK69" s="16" t="s">
        <v>242</v>
      </c>
      <c r="AL69" s="16" t="s">
        <v>243</v>
      </c>
      <c r="AM69" s="16" t="s">
        <v>244</v>
      </c>
      <c r="AN69" s="16" t="s">
        <v>245</v>
      </c>
      <c r="AO69" s="16" t="s">
        <v>246</v>
      </c>
      <c r="AP69" s="16" t="s">
        <v>247</v>
      </c>
      <c r="AQ69" s="16" t="s">
        <v>248</v>
      </c>
      <c r="AR69" s="16" t="s">
        <v>249</v>
      </c>
      <c r="AS69" s="16" t="s">
        <v>250</v>
      </c>
      <c r="AT69" s="16" t="s">
        <v>232</v>
      </c>
      <c r="AU69" s="16" t="s">
        <v>251</v>
      </c>
      <c r="AV69" s="16" t="s">
        <v>252</v>
      </c>
      <c r="AW69" s="16" t="s">
        <v>253</v>
      </c>
      <c r="AX69" s="16" t="s">
        <v>254</v>
      </c>
      <c r="AY69" s="16" t="s">
        <v>255</v>
      </c>
      <c r="AZ69" s="16" t="s">
        <v>256</v>
      </c>
      <c r="BA69" s="16" t="s">
        <v>257</v>
      </c>
      <c r="BB69" s="16" t="s">
        <v>258</v>
      </c>
      <c r="BC69" s="16" t="s">
        <v>259</v>
      </c>
      <c r="BD69" s="16" t="s">
        <v>260</v>
      </c>
      <c r="BE69" s="16" t="s">
        <v>261</v>
      </c>
      <c r="BF69" s="16" t="s">
        <v>262</v>
      </c>
      <c r="BG69" s="16" t="s">
        <v>263</v>
      </c>
      <c r="BH69" s="16" t="s">
        <v>264</v>
      </c>
      <c r="BI69" s="16" t="s">
        <v>265</v>
      </c>
      <c r="BJ69" s="16" t="s">
        <v>266</v>
      </c>
      <c r="BK69" s="16" t="s">
        <v>267</v>
      </c>
      <c r="BL69" s="16" t="s">
        <v>268</v>
      </c>
      <c r="BM69" s="16" t="s">
        <v>269</v>
      </c>
      <c r="BN69" s="16" t="s">
        <v>270</v>
      </c>
      <c r="BO69" s="16" t="s">
        <v>271</v>
      </c>
      <c r="BP69" s="16" t="s">
        <v>272</v>
      </c>
      <c r="BQ69" s="16" t="s">
        <v>273</v>
      </c>
      <c r="BR69" s="16" t="s">
        <v>274</v>
      </c>
      <c r="BS69" s="16" t="s">
        <v>275</v>
      </c>
      <c r="BT69" s="16" t="s">
        <v>276</v>
      </c>
      <c r="BU69" s="16" t="s">
        <v>277</v>
      </c>
      <c r="BV69" s="16" t="s">
        <v>278</v>
      </c>
      <c r="BW69" s="16" t="s">
        <v>279</v>
      </c>
      <c r="BX69" s="16" t="s">
        <v>280</v>
      </c>
      <c r="BY69" s="16" t="s">
        <v>281</v>
      </c>
      <c r="BZ69" s="16" t="s">
        <v>282</v>
      </c>
      <c r="CA69" s="16" t="s">
        <v>283</v>
      </c>
      <c r="CB69" s="16" t="s">
        <v>284</v>
      </c>
      <c r="CC69" s="16" t="s">
        <v>285</v>
      </c>
      <c r="CD69" s="16" t="s">
        <v>286</v>
      </c>
      <c r="CE69" s="16" t="s">
        <v>287</v>
      </c>
      <c r="CF69" s="16" t="s">
        <v>288</v>
      </c>
      <c r="CG69" s="16" t="s">
        <v>289</v>
      </c>
      <c r="CH69" s="16" t="s">
        <v>290</v>
      </c>
      <c r="CI69" s="16" t="s">
        <v>291</v>
      </c>
      <c r="CJ69" s="16" t="s">
        <v>292</v>
      </c>
      <c r="CK69" s="16" t="s">
        <v>293</v>
      </c>
      <c r="CL69" s="16" t="s">
        <v>294</v>
      </c>
      <c r="CM69" s="16" t="s">
        <v>295</v>
      </c>
      <c r="CN69" s="16" t="s">
        <v>296</v>
      </c>
      <c r="CO69" s="16" t="s">
        <v>297</v>
      </c>
      <c r="CP69" s="16" t="s">
        <v>298</v>
      </c>
      <c r="CQ69" s="16" t="s">
        <v>299</v>
      </c>
      <c r="CR69" s="16" t="s">
        <v>300</v>
      </c>
      <c r="CS69" s="16" t="s">
        <v>301</v>
      </c>
      <c r="CT69" s="16" t="s">
        <v>302</v>
      </c>
      <c r="CU69" s="16" t="s">
        <v>303</v>
      </c>
      <c r="CV69" s="16" t="s">
        <v>304</v>
      </c>
      <c r="CW69" s="16" t="s">
        <v>305</v>
      </c>
      <c r="CX69" s="16" t="s">
        <v>306</v>
      </c>
      <c r="CY69" s="16" t="s">
        <v>307</v>
      </c>
      <c r="CZ69" s="16" t="s">
        <v>308</v>
      </c>
      <c r="DA69" s="16" t="s">
        <v>309</v>
      </c>
      <c r="DB69" s="16" t="s">
        <v>310</v>
      </c>
      <c r="DC69" s="16" t="s">
        <v>311</v>
      </c>
      <c r="DD69" s="16" t="s">
        <v>312</v>
      </c>
      <c r="DE69" s="16" t="s">
        <v>313</v>
      </c>
      <c r="DF69" s="16" t="s">
        <v>314</v>
      </c>
      <c r="DG69" s="16" t="s">
        <v>315</v>
      </c>
      <c r="DH69" s="16" t="s">
        <v>316</v>
      </c>
      <c r="DI69" s="16" t="s">
        <v>317</v>
      </c>
      <c r="DJ69" s="16" t="s">
        <v>318</v>
      </c>
      <c r="DK69" s="16" t="s">
        <v>319</v>
      </c>
      <c r="DL69" s="16" t="s">
        <v>320</v>
      </c>
      <c r="DM69" s="16" t="s">
        <v>321</v>
      </c>
      <c r="DN69" s="16" t="s">
        <v>322</v>
      </c>
      <c r="DO69" s="16" t="s">
        <v>323</v>
      </c>
      <c r="DP69" s="16" t="s">
        <v>324</v>
      </c>
      <c r="DQ69" s="16" t="s">
        <v>325</v>
      </c>
    </row>
    <row r="70" spans="1:134" x14ac:dyDescent="0.25">
      <c r="J70" s="86"/>
      <c r="K70" s="86">
        <f>'IBA-prime'!K70*$D$6/$D$7</f>
        <v>0.24166666666666667</v>
      </c>
      <c r="L70" s="86" t="e">
        <v>#NUM!</v>
      </c>
      <c r="M70" s="88" t="e">
        <f>'IBA-prime'!N70</f>
        <v>#NUM!</v>
      </c>
      <c r="N70" s="88" t="e">
        <f t="shared" si="0"/>
        <v>#NUM!</v>
      </c>
      <c r="S70" s="16" t="s">
        <v>326</v>
      </c>
      <c r="T70" s="55">
        <f>$T$69*$D$9</f>
        <v>14.96</v>
      </c>
      <c r="V70" s="16" t="s">
        <v>327</v>
      </c>
      <c r="W70" s="43">
        <f>W69*3.14159/180</f>
        <v>0</v>
      </c>
      <c r="X70" s="27">
        <v>2.8867520437663026</v>
      </c>
      <c r="Z70" s="16" t="s">
        <v>139</v>
      </c>
      <c r="AA70" s="27">
        <v>1.0086649670000001</v>
      </c>
      <c r="AB70" s="27">
        <v>1.00782522</v>
      </c>
    </row>
    <row r="71" spans="1:134" x14ac:dyDescent="0.25">
      <c r="A71" s="2" t="s">
        <v>328</v>
      </c>
      <c r="J71" s="86"/>
      <c r="K71" s="86">
        <f>'IBA-prime'!K71*$D$6/$D$7</f>
        <v>0.25</v>
      </c>
      <c r="L71" s="86" t="e">
        <v>#NUM!</v>
      </c>
      <c r="M71" s="88" t="e">
        <f>'IBA-prime'!N71</f>
        <v>#NUM!</v>
      </c>
      <c r="N71" s="88" t="e">
        <f t="shared" si="0"/>
        <v>#NUM!</v>
      </c>
      <c r="S71" s="16" t="s">
        <v>329</v>
      </c>
      <c r="T71" s="42">
        <f>(1-$T$69)*$D$9</f>
        <v>0</v>
      </c>
      <c r="V71" s="16" t="s">
        <v>330</v>
      </c>
      <c r="W71" s="43">
        <f>COS($W$70)</f>
        <v>1</v>
      </c>
      <c r="X71" s="27">
        <f>COS(X70)</f>
        <v>-0.96770348883675772</v>
      </c>
      <c r="Z71" s="16" t="s">
        <v>140</v>
      </c>
      <c r="AB71" s="27">
        <v>2.014101787</v>
      </c>
      <c r="DU71" s="42"/>
      <c r="DV71" s="42"/>
      <c r="DW71" s="42"/>
      <c r="DX71" s="42"/>
      <c r="DY71" s="42"/>
      <c r="EA71" s="42"/>
      <c r="EB71" s="42"/>
      <c r="EC71" s="42"/>
      <c r="ED71" s="42"/>
    </row>
    <row r="72" spans="1:134" x14ac:dyDescent="0.25">
      <c r="A72" s="2" t="s">
        <v>331</v>
      </c>
      <c r="B72" s="50"/>
      <c r="C72" s="60"/>
      <c r="D72" s="42"/>
      <c r="H72" s="43"/>
      <c r="I72" s="43"/>
      <c r="J72" s="108"/>
      <c r="K72" s="109"/>
      <c r="L72" s="109"/>
      <c r="M72" s="110"/>
      <c r="N72" s="110"/>
      <c r="V72" s="16" t="s">
        <v>332</v>
      </c>
      <c r="W72" s="43">
        <f>SIN($W$70)</f>
        <v>0</v>
      </c>
      <c r="X72" s="27">
        <f>SIN(X70)</f>
        <v>0.2520911694073536</v>
      </c>
      <c r="Z72" s="16" t="s">
        <v>141</v>
      </c>
      <c r="AB72" s="27">
        <v>3.0160492859999999</v>
      </c>
      <c r="AC72" s="27">
        <v>3.0160292970000002</v>
      </c>
    </row>
    <row r="73" spans="1:134" x14ac:dyDescent="0.25">
      <c r="B73" s="50"/>
      <c r="C73" s="60"/>
      <c r="D73" s="42"/>
      <c r="H73" s="43"/>
      <c r="I73" s="43"/>
      <c r="J73" s="108"/>
      <c r="K73" s="109"/>
      <c r="L73" s="109"/>
      <c r="M73" s="110"/>
      <c r="N73" s="110"/>
      <c r="S73" s="16" t="s">
        <v>333</v>
      </c>
      <c r="T73" s="27">
        <f>($D$55/$D$53)</f>
        <v>96</v>
      </c>
      <c r="V73" s="16" t="s">
        <v>334</v>
      </c>
      <c r="W73" s="43">
        <f>(W72^2)</f>
        <v>0</v>
      </c>
      <c r="X73" s="27">
        <f>SIN(X70)^2</f>
        <v>6.3549957693167056E-2</v>
      </c>
      <c r="Z73" s="16" t="s">
        <v>142</v>
      </c>
      <c r="AB73" s="27">
        <v>4.0278299999999998</v>
      </c>
      <c r="AC73" s="27">
        <v>4.0026032499999999</v>
      </c>
      <c r="AD73" s="27">
        <v>4.0269700000000004</v>
      </c>
    </row>
    <row r="74" spans="1:134" x14ac:dyDescent="0.25">
      <c r="A74" s="2" t="s">
        <v>335</v>
      </c>
      <c r="B74" s="50"/>
      <c r="C74" s="60"/>
      <c r="D74" s="42"/>
      <c r="H74" s="43"/>
      <c r="I74" s="43"/>
      <c r="J74" s="108"/>
      <c r="K74" s="109"/>
      <c r="L74" s="109"/>
      <c r="M74" s="110"/>
      <c r="N74" s="110"/>
      <c r="S74" s="16" t="s">
        <v>336</v>
      </c>
      <c r="T74" s="42">
        <f>IF(ISERR($W$76)=1,$T$83,$T$84)</f>
        <v>0.99721273485352624</v>
      </c>
      <c r="Z74" s="16" t="s">
        <v>143</v>
      </c>
      <c r="AB74" s="27">
        <v>5.03627</v>
      </c>
      <c r="AC74" s="27">
        <v>5.0122200000000001</v>
      </c>
      <c r="AD74" s="27">
        <v>5.0125000000000002</v>
      </c>
    </row>
    <row r="75" spans="1:134" x14ac:dyDescent="0.25">
      <c r="A75" s="2" t="s">
        <v>337</v>
      </c>
      <c r="B75" s="50"/>
      <c r="C75" s="60"/>
      <c r="D75" s="42"/>
      <c r="H75" s="43"/>
      <c r="I75" s="43"/>
      <c r="J75" s="108"/>
      <c r="K75" s="109"/>
      <c r="L75" s="109"/>
      <c r="M75" s="110"/>
      <c r="N75" s="110"/>
      <c r="S75" s="16" t="s">
        <v>338</v>
      </c>
      <c r="T75" s="42">
        <f>$T$74*$D$57</f>
        <v>14.918302513408753</v>
      </c>
      <c r="V75" s="16" t="s">
        <v>339</v>
      </c>
      <c r="Z75" s="16" t="s">
        <v>144</v>
      </c>
      <c r="AC75" s="27">
        <v>6.018891</v>
      </c>
      <c r="AD75" s="27">
        <v>6.0151209999999997</v>
      </c>
      <c r="AE75" s="27">
        <v>6.0197269999999996</v>
      </c>
    </row>
    <row r="76" spans="1:134" x14ac:dyDescent="0.25">
      <c r="B76" s="50"/>
      <c r="C76" s="60"/>
      <c r="D76" s="42"/>
      <c r="H76" s="43"/>
      <c r="I76" s="43"/>
      <c r="J76" s="108"/>
      <c r="K76" s="109"/>
      <c r="L76" s="109"/>
      <c r="M76" s="110"/>
      <c r="N76" s="110"/>
      <c r="S76" s="16" t="s">
        <v>340</v>
      </c>
      <c r="T76" s="42">
        <f>4*$D$53*$D$54*$D$57*$W$85/($D$53+$D$54)^2</f>
        <v>3.1867455621301777</v>
      </c>
      <c r="V76" s="16" t="s">
        <v>341</v>
      </c>
      <c r="W76" s="54" t="e">
        <v>#VALUE!</v>
      </c>
      <c r="Z76" s="16" t="s">
        <v>145</v>
      </c>
      <c r="AC76" s="27">
        <v>7.0280310000000004</v>
      </c>
      <c r="AD76" s="27">
        <v>7.0160030000000004</v>
      </c>
      <c r="AE76" s="27">
        <v>7.0169299000000001</v>
      </c>
    </row>
    <row r="77" spans="1:134" x14ac:dyDescent="0.25">
      <c r="A77" s="2" t="s">
        <v>342</v>
      </c>
      <c r="B77" s="50"/>
      <c r="C77" s="60"/>
      <c r="D77" s="42"/>
      <c r="H77" s="43"/>
      <c r="I77" s="43"/>
      <c r="J77" s="108"/>
      <c r="K77" s="109"/>
      <c r="L77" s="109"/>
      <c r="M77" s="110"/>
      <c r="N77" s="110"/>
      <c r="V77" s="16" t="s">
        <v>343</v>
      </c>
      <c r="W77" s="43" t="e">
        <v>#VALUE!</v>
      </c>
      <c r="Z77" s="16" t="s">
        <v>146</v>
      </c>
      <c r="AD77" s="27">
        <v>8.0224890000000002</v>
      </c>
      <c r="AE77" s="27">
        <v>8.0053051499999999</v>
      </c>
      <c r="AF77" s="27">
        <v>8.0246075000000001</v>
      </c>
    </row>
    <row r="78" spans="1:134" x14ac:dyDescent="0.25">
      <c r="B78" s="50"/>
      <c r="C78" s="60"/>
      <c r="D78" s="42"/>
      <c r="E78" s="16" t="s">
        <v>344</v>
      </c>
      <c r="H78" s="43"/>
      <c r="I78" s="43"/>
      <c r="J78" s="108"/>
      <c r="K78" s="109"/>
      <c r="L78" s="109"/>
      <c r="M78" s="110"/>
      <c r="N78" s="110"/>
      <c r="V78" s="16" t="s">
        <v>345</v>
      </c>
      <c r="W78" s="43" t="e">
        <f>COS($W$77)</f>
        <v>#VALUE!</v>
      </c>
      <c r="Z78" s="16" t="s">
        <v>147</v>
      </c>
      <c r="AE78" s="27">
        <v>9.0121824999999998</v>
      </c>
      <c r="AF78" s="27">
        <v>9.0133291</v>
      </c>
      <c r="AG78" s="27">
        <v>9.0310380000000006</v>
      </c>
    </row>
    <row r="79" spans="1:134" x14ac:dyDescent="0.25">
      <c r="A79" s="2" t="s">
        <v>346</v>
      </c>
      <c r="B79" s="43"/>
      <c r="C79" s="60"/>
      <c r="D79" s="42"/>
      <c r="H79" s="43"/>
      <c r="I79" s="43"/>
      <c r="J79" s="108"/>
      <c r="K79" s="109"/>
      <c r="L79" s="109"/>
      <c r="M79" s="110"/>
      <c r="N79" s="110"/>
      <c r="V79" s="16" t="s">
        <v>347</v>
      </c>
      <c r="W79" s="43" t="e">
        <f>SIN($W$77)</f>
        <v>#VALUE!</v>
      </c>
      <c r="Z79" s="16" t="s">
        <v>148</v>
      </c>
      <c r="AE79" s="27">
        <v>10.013534699999999</v>
      </c>
      <c r="AF79" s="27">
        <v>10.012938</v>
      </c>
      <c r="AG79" s="27">
        <v>10.0168576</v>
      </c>
    </row>
    <row r="80" spans="1:134" x14ac:dyDescent="0.25">
      <c r="A80" s="2" t="s">
        <v>6</v>
      </c>
      <c r="B80" s="27">
        <f>C8</f>
        <v>2</v>
      </c>
      <c r="C80" s="60"/>
      <c r="D80" s="42"/>
      <c r="E80" s="16" t="s">
        <v>348</v>
      </c>
      <c r="F80" s="23">
        <f>IF(B80&gt;9,0,INDEX($B$111:$J$129,B81,B80))</f>
        <v>1.5040446658818245</v>
      </c>
      <c r="H80" s="43"/>
      <c r="I80" s="43"/>
      <c r="J80" s="108"/>
      <c r="K80" s="109"/>
      <c r="L80" s="109"/>
      <c r="M80" s="110"/>
      <c r="N80" s="110"/>
      <c r="V80" s="16" t="s">
        <v>349</v>
      </c>
      <c r="W80" s="43" t="e">
        <f>($W$79^2)</f>
        <v>#VALUE!</v>
      </c>
      <c r="Z80" s="16" t="s">
        <v>149</v>
      </c>
      <c r="AE80" s="27">
        <v>11.021660000000001</v>
      </c>
      <c r="AF80" s="27">
        <v>11.009305299999999</v>
      </c>
      <c r="AG80" s="27">
        <v>11.0114331</v>
      </c>
      <c r="AH80" s="27">
        <v>11.02708</v>
      </c>
    </row>
    <row r="81" spans="1:41" x14ac:dyDescent="0.25">
      <c r="A81" s="2" t="s">
        <v>7</v>
      </c>
      <c r="B81" s="27">
        <f>D8</f>
        <v>4</v>
      </c>
      <c r="C81" s="60"/>
      <c r="D81" s="42"/>
      <c r="E81" s="16" t="s">
        <v>350</v>
      </c>
      <c r="F81" s="23">
        <f>IF(B80&gt;9,0,INDEX($B$136:$J$154,B81,B80))</f>
        <v>0.43060856564791961</v>
      </c>
      <c r="H81" s="43"/>
      <c r="I81" s="43"/>
      <c r="J81" s="108"/>
      <c r="K81" s="109"/>
      <c r="L81" s="109"/>
      <c r="M81" s="110"/>
      <c r="N81" s="110"/>
      <c r="Z81" s="16" t="s">
        <v>150</v>
      </c>
      <c r="AE81" s="27">
        <v>12.026870000000001</v>
      </c>
      <c r="AF81" s="27">
        <v>12.0143526</v>
      </c>
      <c r="AG81" s="27">
        <v>12</v>
      </c>
      <c r="AH81" s="27">
        <v>12.018613</v>
      </c>
    </row>
    <row r="82" spans="1:41" x14ac:dyDescent="0.25">
      <c r="A82" s="2" t="s">
        <v>351</v>
      </c>
      <c r="B82" s="27">
        <f>D27</f>
        <v>8.7867873042567712</v>
      </c>
      <c r="C82" s="23" t="s">
        <v>20</v>
      </c>
      <c r="D82" s="42"/>
      <c r="E82" s="16" t="s">
        <v>352</v>
      </c>
      <c r="F82" s="23">
        <f>10^(LOG(B82)*F80+F81)</f>
        <v>70.822493610545507</v>
      </c>
      <c r="G82" s="23" t="s">
        <v>353</v>
      </c>
      <c r="H82" s="43"/>
      <c r="I82" s="43"/>
      <c r="J82" s="108"/>
      <c r="K82" s="109"/>
      <c r="L82" s="109"/>
      <c r="M82" s="110"/>
      <c r="N82" s="110"/>
      <c r="V82" s="16" t="s">
        <v>354</v>
      </c>
      <c r="Z82" s="16" t="s">
        <v>151</v>
      </c>
      <c r="AG82" s="27">
        <v>13.003354839</v>
      </c>
      <c r="AH82" s="27">
        <v>13.0057387</v>
      </c>
    </row>
    <row r="83" spans="1:41" x14ac:dyDescent="0.25">
      <c r="B83" s="50"/>
      <c r="C83" s="60"/>
      <c r="D83" s="42"/>
      <c r="E83" s="16" t="s">
        <v>2</v>
      </c>
      <c r="F83" s="23">
        <f>F82-B84</f>
        <v>70.822393610545504</v>
      </c>
      <c r="G83" s="23" t="s">
        <v>353</v>
      </c>
      <c r="H83" s="43"/>
      <c r="I83" s="43"/>
      <c r="J83" s="108"/>
      <c r="K83" s="109"/>
      <c r="L83" s="109"/>
      <c r="M83" s="110"/>
      <c r="N83" s="110"/>
      <c r="S83" s="16" t="s">
        <v>355</v>
      </c>
      <c r="T83" s="42">
        <f>(($W$86+($T$73^2-$W$87)^0.5)/(1+$T$73))^2</f>
        <v>0.99721273485352624</v>
      </c>
      <c r="V83" s="16" t="s">
        <v>356</v>
      </c>
      <c r="W83" s="27">
        <f>D56</f>
        <v>0</v>
      </c>
      <c r="Z83" s="16" t="s">
        <v>152</v>
      </c>
      <c r="AG83" s="27">
        <v>14.003241993</v>
      </c>
      <c r="AH83" s="27">
        <v>14.003074008</v>
      </c>
      <c r="AI83" s="27">
        <v>14.008597200000001</v>
      </c>
    </row>
    <row r="84" spans="1:41" x14ac:dyDescent="0.25">
      <c r="A84" s="2" t="s">
        <v>357</v>
      </c>
      <c r="B84" s="27">
        <f>D11</f>
        <v>1E-4</v>
      </c>
      <c r="C84" s="23" t="s">
        <v>353</v>
      </c>
      <c r="D84" s="42"/>
      <c r="H84" s="43"/>
      <c r="I84" s="43"/>
      <c r="J84" s="108"/>
      <c r="K84" s="109"/>
      <c r="L84" s="109"/>
      <c r="M84" s="110"/>
      <c r="N84" s="110"/>
      <c r="S84" s="16" t="s">
        <v>358</v>
      </c>
      <c r="T84" s="42" t="e">
        <f>(($W$78+($T$73^2-$W$80)^0.5)/(1+$T$73))^2</f>
        <v>#VALUE!</v>
      </c>
      <c r="V84" s="16" t="s">
        <v>359</v>
      </c>
      <c r="W84" s="27">
        <v>0.5</v>
      </c>
      <c r="Z84" s="16" t="s">
        <v>153</v>
      </c>
      <c r="AH84" s="27">
        <v>15.000108978</v>
      </c>
      <c r="AI84" s="27">
        <v>15.003065400000001</v>
      </c>
      <c r="AJ84" s="27">
        <v>15.01895</v>
      </c>
    </row>
    <row r="85" spans="1:41" x14ac:dyDescent="0.25">
      <c r="B85" s="50"/>
      <c r="C85" s="60"/>
      <c r="D85" s="42"/>
      <c r="H85" s="43"/>
      <c r="I85" s="43"/>
      <c r="J85" s="108"/>
      <c r="K85" s="109"/>
      <c r="L85" s="109"/>
      <c r="M85" s="110"/>
      <c r="N85" s="110"/>
      <c r="V85" s="16" t="s">
        <v>360</v>
      </c>
      <c r="W85" s="27">
        <v>0.75</v>
      </c>
      <c r="Z85" s="16" t="s">
        <v>154</v>
      </c>
      <c r="AH85" s="27">
        <v>16.0060994</v>
      </c>
      <c r="AI85" s="27">
        <v>15.994914639999999</v>
      </c>
      <c r="AJ85" s="27">
        <v>16.011479000000001</v>
      </c>
    </row>
    <row r="86" spans="1:41" x14ac:dyDescent="0.25">
      <c r="A86" s="2" t="s">
        <v>361</v>
      </c>
      <c r="B86" s="27">
        <f>10^((LOG(F83)-F81)/F80)</f>
        <v>8.7867790553144136</v>
      </c>
      <c r="C86" s="23" t="s">
        <v>20</v>
      </c>
      <c r="D86" s="42"/>
      <c r="H86" s="43"/>
      <c r="I86" s="43"/>
      <c r="J86" s="108"/>
      <c r="K86" s="109"/>
      <c r="L86" s="109"/>
      <c r="M86" s="110"/>
      <c r="N86" s="110"/>
      <c r="S86" s="23" t="s">
        <v>362</v>
      </c>
      <c r="V86" s="16" t="s">
        <v>363</v>
      </c>
      <c r="W86" s="27">
        <v>0.8660254037844386</v>
      </c>
      <c r="Z86" s="16" t="s">
        <v>155</v>
      </c>
      <c r="AI86" s="27">
        <v>16.999130600000001</v>
      </c>
      <c r="AJ86" s="27">
        <v>17.002095180000001</v>
      </c>
    </row>
    <row r="87" spans="1:41" x14ac:dyDescent="0.25">
      <c r="B87" s="50"/>
      <c r="C87" s="60"/>
      <c r="D87" s="42"/>
      <c r="H87" s="43"/>
      <c r="I87" s="43"/>
      <c r="J87" s="108"/>
      <c r="K87" s="109"/>
      <c r="L87" s="109"/>
      <c r="M87" s="110"/>
      <c r="N87" s="110"/>
      <c r="S87" s="23" t="s">
        <v>364</v>
      </c>
      <c r="V87" s="16" t="s">
        <v>365</v>
      </c>
      <c r="W87" s="27">
        <f>(W84^2)</f>
        <v>0.25</v>
      </c>
      <c r="Z87" s="16" t="s">
        <v>156</v>
      </c>
      <c r="AI87" s="27">
        <v>17.999159389999999</v>
      </c>
      <c r="AJ87" s="27">
        <v>18.000936599999999</v>
      </c>
      <c r="AK87" s="27">
        <v>18.005710000000001</v>
      </c>
    </row>
    <row r="88" spans="1:41" x14ac:dyDescent="0.25">
      <c r="A88" s="2" t="s">
        <v>366</v>
      </c>
      <c r="B88" s="43"/>
      <c r="C88" s="60"/>
      <c r="D88" s="42"/>
      <c r="J88" s="109"/>
      <c r="K88" s="109"/>
      <c r="L88" s="109"/>
      <c r="M88" s="110"/>
      <c r="N88" s="110"/>
      <c r="Z88" s="16" t="s">
        <v>157</v>
      </c>
      <c r="AI88" s="27">
        <v>19.0035764</v>
      </c>
      <c r="AJ88" s="27">
        <v>18.998403249999999</v>
      </c>
      <c r="AK88" s="27">
        <v>19.0018797</v>
      </c>
    </row>
    <row r="89" spans="1:41" x14ac:dyDescent="0.25">
      <c r="A89" s="2" t="s">
        <v>6</v>
      </c>
      <c r="B89" s="27">
        <f>C53</f>
        <v>0</v>
      </c>
      <c r="C89" s="60"/>
      <c r="D89" s="42"/>
      <c r="E89" s="16" t="s">
        <v>348</v>
      </c>
      <c r="F89" s="23">
        <f>IF(B89&gt;9,0,INDEX($B$111:$J$129,B90,B89))</f>
        <v>0</v>
      </c>
      <c r="J89" s="109"/>
      <c r="K89" s="109"/>
      <c r="L89" s="109"/>
      <c r="M89" s="110"/>
      <c r="N89" s="110"/>
      <c r="Z89" s="16" t="s">
        <v>158</v>
      </c>
      <c r="AJ89" s="27">
        <v>19.999981699999999</v>
      </c>
      <c r="AK89" s="27">
        <v>19.992439099999999</v>
      </c>
      <c r="AL89" s="27">
        <v>20.007346999999999</v>
      </c>
    </row>
    <row r="90" spans="1:41" x14ac:dyDescent="0.25">
      <c r="A90" s="2" t="s">
        <v>7</v>
      </c>
      <c r="B90" s="27">
        <f>D53</f>
        <v>1</v>
      </c>
      <c r="C90" s="60"/>
      <c r="D90" s="42"/>
      <c r="E90" s="16" t="s">
        <v>350</v>
      </c>
      <c r="F90" s="23">
        <f>IF(B89&gt;9,0,INDEX($B$136:$J$154,B90,B89))</f>
        <v>0</v>
      </c>
      <c r="J90" s="109"/>
      <c r="K90" s="109"/>
      <c r="L90" s="109"/>
      <c r="M90" s="110"/>
      <c r="N90" s="110"/>
      <c r="Z90" s="16" t="s">
        <v>159</v>
      </c>
      <c r="AK90" s="27">
        <v>20.9938453</v>
      </c>
      <c r="AL90" s="27">
        <v>20.997653499999998</v>
      </c>
    </row>
    <row r="91" spans="1:41" x14ac:dyDescent="0.25">
      <c r="A91" s="2" t="s">
        <v>351</v>
      </c>
      <c r="B91" s="27">
        <f>D66</f>
        <v>14.96</v>
      </c>
      <c r="C91" s="23" t="s">
        <v>20</v>
      </c>
      <c r="D91" s="42"/>
      <c r="E91" s="16" t="s">
        <v>352</v>
      </c>
      <c r="F91" s="23">
        <f>10^(LOG(B91)*F89+F90)</f>
        <v>1</v>
      </c>
      <c r="G91" s="23" t="s">
        <v>353</v>
      </c>
      <c r="J91" s="109"/>
      <c r="K91" s="109"/>
      <c r="L91" s="109"/>
      <c r="M91" s="110"/>
      <c r="N91" s="110"/>
      <c r="Z91" s="16" t="s">
        <v>160</v>
      </c>
      <c r="AK91" s="27">
        <v>21.9913837</v>
      </c>
      <c r="AL91" s="27">
        <v>21.994436</v>
      </c>
      <c r="AM91" s="27">
        <v>21.999576900000001</v>
      </c>
    </row>
    <row r="92" spans="1:41" x14ac:dyDescent="0.25">
      <c r="B92" s="50"/>
      <c r="C92" s="60"/>
      <c r="D92" s="42"/>
      <c r="E92" s="16" t="s">
        <v>2</v>
      </c>
      <c r="F92" s="23">
        <f>F91-B93</f>
        <v>0.99990000000000001</v>
      </c>
      <c r="G92" s="23" t="s">
        <v>353</v>
      </c>
      <c r="J92" s="109"/>
      <c r="K92" s="109"/>
      <c r="L92" s="109"/>
      <c r="M92" s="110"/>
      <c r="N92" s="110"/>
      <c r="Z92" s="16" t="s">
        <v>161</v>
      </c>
      <c r="AK92" s="27">
        <v>22.9944658</v>
      </c>
      <c r="AL92" s="27">
        <v>22.989768000000002</v>
      </c>
      <c r="AM92" s="27">
        <v>22.994125</v>
      </c>
    </row>
    <row r="93" spans="1:41" x14ac:dyDescent="0.25">
      <c r="A93" s="2" t="s">
        <v>357</v>
      </c>
      <c r="B93" s="27">
        <f>B84</f>
        <v>1E-4</v>
      </c>
      <c r="C93" s="23" t="s">
        <v>353</v>
      </c>
      <c r="D93" s="42"/>
      <c r="J93" s="109"/>
      <c r="K93" s="109"/>
      <c r="L93" s="109"/>
      <c r="M93" s="110"/>
      <c r="N93" s="110"/>
      <c r="Z93" s="16" t="s">
        <v>162</v>
      </c>
      <c r="AL93" s="27">
        <v>23.990964000000002</v>
      </c>
      <c r="AM93" s="27">
        <v>23.985042</v>
      </c>
      <c r="AN93" s="27">
        <v>23.999943999999999</v>
      </c>
    </row>
    <row r="94" spans="1:41" x14ac:dyDescent="0.25">
      <c r="B94" s="50"/>
      <c r="C94" s="60"/>
      <c r="D94" s="42"/>
      <c r="J94" s="109"/>
      <c r="K94" s="109"/>
      <c r="L94" s="109"/>
      <c r="M94" s="110"/>
      <c r="N94" s="110"/>
      <c r="Z94" s="16" t="s">
        <v>163</v>
      </c>
      <c r="AM94" s="27">
        <v>24.985838000000001</v>
      </c>
      <c r="AN94" s="27">
        <v>24.990431699999998</v>
      </c>
    </row>
    <row r="95" spans="1:41" x14ac:dyDescent="0.25">
      <c r="A95" s="2" t="s">
        <v>361</v>
      </c>
      <c r="B95" s="27" t="e">
        <f>10^((LOG(F92)-F90)/F89)</f>
        <v>#DIV/0!</v>
      </c>
      <c r="C95" s="23" t="s">
        <v>20</v>
      </c>
      <c r="D95" s="42"/>
      <c r="J95" s="109"/>
      <c r="K95" s="109"/>
      <c r="L95" s="109"/>
      <c r="M95" s="110"/>
      <c r="N95" s="110"/>
      <c r="Z95" s="16" t="s">
        <v>164</v>
      </c>
      <c r="AM95" s="27">
        <v>25.982593999999999</v>
      </c>
      <c r="AN95" s="27">
        <v>25.986893999999999</v>
      </c>
      <c r="AO95" s="27">
        <v>25.9923316</v>
      </c>
    </row>
    <row r="96" spans="1:41" x14ac:dyDescent="0.25">
      <c r="A96" s="12"/>
      <c r="F96" s="15"/>
      <c r="J96" s="109"/>
      <c r="K96" s="109"/>
      <c r="L96" s="109"/>
      <c r="M96" s="110"/>
      <c r="N96" s="110"/>
      <c r="Z96" s="16" t="s">
        <v>165</v>
      </c>
      <c r="AM96" s="27">
        <v>26.984342999999999</v>
      </c>
      <c r="AN96" s="27">
        <v>26.981539000000001</v>
      </c>
      <c r="AO96" s="27">
        <v>26.986704</v>
      </c>
    </row>
    <row r="97" spans="1:49" x14ac:dyDescent="0.25">
      <c r="A97" s="12"/>
      <c r="F97" s="15"/>
      <c r="J97" s="109"/>
      <c r="K97" s="109"/>
      <c r="L97" s="109"/>
      <c r="M97" s="110"/>
      <c r="N97" s="110"/>
      <c r="Z97" s="16" t="s">
        <v>166</v>
      </c>
      <c r="AN97" s="27">
        <v>27.9819122</v>
      </c>
      <c r="AO97" s="27">
        <v>27.976927</v>
      </c>
      <c r="AP97" s="27">
        <v>27.992314</v>
      </c>
    </row>
    <row r="98" spans="1:49" x14ac:dyDescent="0.25">
      <c r="A98" s="12"/>
      <c r="F98" s="15"/>
      <c r="J98" s="109"/>
      <c r="K98" s="109"/>
      <c r="L98" s="109"/>
      <c r="M98" s="110"/>
      <c r="N98" s="110"/>
      <c r="Z98" s="16" t="s">
        <v>167</v>
      </c>
      <c r="AO98" s="27">
        <v>28.976495</v>
      </c>
      <c r="AP98" s="27">
        <v>28.981804400000001</v>
      </c>
    </row>
    <row r="99" spans="1:49" x14ac:dyDescent="0.25">
      <c r="A99" s="2" t="s">
        <v>367</v>
      </c>
      <c r="B99" s="43"/>
      <c r="C99" s="60"/>
      <c r="D99" s="42"/>
      <c r="J99" s="109"/>
      <c r="K99" s="109"/>
      <c r="L99" s="109"/>
      <c r="M99" s="110"/>
      <c r="N99" s="110"/>
      <c r="Z99" s="16" t="s">
        <v>168</v>
      </c>
      <c r="AO99" s="27">
        <v>29.973769999999998</v>
      </c>
      <c r="AP99" s="27">
        <v>29.97831</v>
      </c>
      <c r="AQ99" s="27">
        <v>29.984903899999999</v>
      </c>
    </row>
    <row r="100" spans="1:49" x14ac:dyDescent="0.25">
      <c r="A100" s="2" t="s">
        <v>6</v>
      </c>
      <c r="B100" s="27">
        <f>C54</f>
        <v>6</v>
      </c>
      <c r="C100" s="60"/>
      <c r="D100" s="42"/>
      <c r="E100" s="16" t="s">
        <v>348</v>
      </c>
      <c r="F100" s="23">
        <f>IF(B100&gt;9,0,INDEX($B$111:$J$129,B101,B100))</f>
        <v>0.9860379051542888</v>
      </c>
      <c r="J100" s="109"/>
      <c r="K100" s="109"/>
      <c r="L100" s="109"/>
      <c r="M100" s="110"/>
      <c r="N100" s="110"/>
      <c r="Z100" s="16" t="s">
        <v>169</v>
      </c>
      <c r="AO100" s="27">
        <v>30.975365</v>
      </c>
      <c r="AP100" s="27">
        <v>30.973762000000001</v>
      </c>
      <c r="AQ100" s="27">
        <v>30.979600000000001</v>
      </c>
    </row>
    <row r="101" spans="1:49" x14ac:dyDescent="0.25">
      <c r="A101" s="2" t="s">
        <v>7</v>
      </c>
      <c r="B101" s="27">
        <f>D54</f>
        <v>12</v>
      </c>
      <c r="C101" s="60"/>
      <c r="D101" s="42"/>
      <c r="E101" s="16" t="s">
        <v>350</v>
      </c>
      <c r="F101" s="23">
        <f>IF(B100&gt;9,0,INDEX($B$136:$J$154,B101,B100))</f>
        <v>5.5961469181884826E-2</v>
      </c>
      <c r="J101" s="109"/>
      <c r="K101" s="109"/>
      <c r="L101" s="109"/>
      <c r="M101" s="110"/>
      <c r="N101" s="110"/>
      <c r="Z101" s="16" t="s">
        <v>170</v>
      </c>
      <c r="AP101" s="27">
        <v>31.973908699999999</v>
      </c>
      <c r="AQ101" s="27">
        <v>31.972071</v>
      </c>
      <c r="AR101" s="27">
        <v>31.985690999999999</v>
      </c>
    </row>
    <row r="102" spans="1:49" x14ac:dyDescent="0.25">
      <c r="A102" s="2" t="s">
        <v>351</v>
      </c>
      <c r="B102" s="27">
        <f>D61</f>
        <v>3.1867455621301777</v>
      </c>
      <c r="C102" s="23" t="s">
        <v>20</v>
      </c>
      <c r="D102" s="42"/>
      <c r="E102" s="16" t="s">
        <v>352</v>
      </c>
      <c r="F102" s="23">
        <f>10^(LOG(B102)*F100+F101)</f>
        <v>3.5668190284193333</v>
      </c>
      <c r="G102" s="23" t="s">
        <v>353</v>
      </c>
      <c r="J102" s="109"/>
      <c r="K102" s="109"/>
      <c r="L102" s="109"/>
      <c r="M102" s="110"/>
      <c r="N102" s="110"/>
      <c r="Z102" s="16" t="s">
        <v>171</v>
      </c>
      <c r="AP102" s="27">
        <v>32.971726400000001</v>
      </c>
      <c r="AQ102" s="27">
        <v>32.971459000000003</v>
      </c>
      <c r="AR102" s="27">
        <v>32.977452599999999</v>
      </c>
    </row>
    <row r="103" spans="1:49" x14ac:dyDescent="0.25">
      <c r="B103" s="50"/>
      <c r="C103" s="60"/>
      <c r="D103" s="42"/>
      <c r="E103" s="16" t="s">
        <v>2</v>
      </c>
      <c r="F103" s="23">
        <f>F102-B104</f>
        <v>3.5667190284193331</v>
      </c>
      <c r="G103" s="23" t="s">
        <v>353</v>
      </c>
      <c r="J103" s="109"/>
      <c r="K103" s="109"/>
      <c r="L103" s="109"/>
      <c r="M103" s="110"/>
      <c r="N103" s="110"/>
      <c r="Z103" s="16" t="s">
        <v>172</v>
      </c>
      <c r="AQ103" s="27">
        <v>33.967866700000002</v>
      </c>
      <c r="AR103" s="27">
        <v>33.973765</v>
      </c>
      <c r="AS103" s="27">
        <v>33.980269300000003</v>
      </c>
    </row>
    <row r="104" spans="1:49" x14ac:dyDescent="0.25">
      <c r="A104" s="2" t="s">
        <v>357</v>
      </c>
      <c r="B104" s="27">
        <f>D58</f>
        <v>1E-4</v>
      </c>
      <c r="C104" s="23" t="s">
        <v>353</v>
      </c>
      <c r="D104" s="42"/>
      <c r="Z104" s="16" t="s">
        <v>173</v>
      </c>
      <c r="AQ104" s="27">
        <v>34.9690333</v>
      </c>
      <c r="AR104" s="27">
        <v>34.968852699999999</v>
      </c>
      <c r="AS104" s="27">
        <v>34.975256199999997</v>
      </c>
    </row>
    <row r="105" spans="1:49" x14ac:dyDescent="0.25">
      <c r="B105" s="50"/>
      <c r="C105" s="60"/>
      <c r="D105" s="42"/>
      <c r="Z105" s="16" t="s">
        <v>174</v>
      </c>
      <c r="AQ105" s="27">
        <v>35.967080600000003</v>
      </c>
      <c r="AR105" s="27">
        <v>35.968307000000003</v>
      </c>
      <c r="AS105" s="27">
        <v>35.967545604999998</v>
      </c>
      <c r="AT105" s="27">
        <v>35.981293000000001</v>
      </c>
    </row>
    <row r="106" spans="1:49" x14ac:dyDescent="0.25">
      <c r="A106" s="2" t="s">
        <v>361</v>
      </c>
      <c r="B106" s="27">
        <f>10^((LOG(F103)-F101)/F100)</f>
        <v>3.1866549528629426</v>
      </c>
      <c r="C106" s="23" t="s">
        <v>20</v>
      </c>
      <c r="D106" s="42"/>
      <c r="Z106" s="16" t="s">
        <v>175</v>
      </c>
      <c r="AR106" s="27">
        <v>36.9659026</v>
      </c>
      <c r="AS106" s="27">
        <v>36.966776299999999</v>
      </c>
      <c r="AT106" s="27">
        <v>36.973370000000003</v>
      </c>
    </row>
    <row r="107" spans="1:49" x14ac:dyDescent="0.25">
      <c r="Z107" s="16" t="s">
        <v>176</v>
      </c>
      <c r="AR107" s="27">
        <v>37.968009000000002</v>
      </c>
      <c r="AS107" s="27">
        <v>37.962732199999998</v>
      </c>
      <c r="AT107" s="27">
        <v>37.969080099999999</v>
      </c>
      <c r="AU107" s="27">
        <v>37.976317999999999</v>
      </c>
    </row>
    <row r="108" spans="1:49" x14ac:dyDescent="0.25">
      <c r="A108" s="2" t="s">
        <v>368</v>
      </c>
      <c r="B108" s="50"/>
      <c r="C108" s="60"/>
      <c r="D108" s="42"/>
      <c r="H108" s="43"/>
      <c r="I108" s="43"/>
      <c r="J108" s="43"/>
      <c r="Z108" s="16" t="s">
        <v>177</v>
      </c>
      <c r="AS108" s="27">
        <v>38.964314999999999</v>
      </c>
      <c r="AT108" s="27">
        <v>38.963707900000003</v>
      </c>
      <c r="AU108" s="27">
        <v>38.970711000000001</v>
      </c>
    </row>
    <row r="109" spans="1:49" x14ac:dyDescent="0.25">
      <c r="A109" s="2" t="s">
        <v>12</v>
      </c>
      <c r="B109" s="23" t="s">
        <v>369</v>
      </c>
      <c r="C109" s="60"/>
      <c r="D109" s="42"/>
      <c r="H109" s="43"/>
      <c r="I109" s="43"/>
      <c r="J109" s="43"/>
      <c r="Z109" s="16" t="s">
        <v>178</v>
      </c>
      <c r="AS109" s="27">
        <v>39.962383099999997</v>
      </c>
      <c r="AT109" s="27">
        <v>39.963998799999999</v>
      </c>
      <c r="AU109" s="27">
        <v>39.9625907</v>
      </c>
      <c r="AV109" s="27">
        <v>39.977963000000003</v>
      </c>
    </row>
    <row r="110" spans="1:49" x14ac:dyDescent="0.25">
      <c r="A110" s="2" t="s">
        <v>348</v>
      </c>
      <c r="B110" s="27">
        <v>1</v>
      </c>
      <c r="C110" s="27">
        <v>2</v>
      </c>
      <c r="D110" s="27">
        <v>3</v>
      </c>
      <c r="E110" s="27">
        <v>4</v>
      </c>
      <c r="F110" s="23">
        <v>5</v>
      </c>
      <c r="G110" s="27">
        <v>6</v>
      </c>
      <c r="H110" s="27">
        <v>7</v>
      </c>
      <c r="I110" s="27">
        <v>8</v>
      </c>
      <c r="J110" s="27">
        <v>9</v>
      </c>
      <c r="Z110" s="16" t="s">
        <v>179</v>
      </c>
      <c r="AS110" s="27">
        <v>40.964500600000001</v>
      </c>
      <c r="AT110" s="27">
        <v>40.961825400000002</v>
      </c>
      <c r="AU110" s="27">
        <v>40.962279199999998</v>
      </c>
      <c r="AV110" s="27">
        <v>40.969250199999998</v>
      </c>
    </row>
    <row r="111" spans="1:49" x14ac:dyDescent="0.25">
      <c r="A111" s="2">
        <v>1</v>
      </c>
      <c r="B111" s="27">
        <v>1.6694520282906096</v>
      </c>
      <c r="C111" s="60"/>
      <c r="D111" s="42"/>
      <c r="H111" s="43"/>
      <c r="I111" s="43"/>
      <c r="J111" s="43"/>
      <c r="Z111" s="16" t="s">
        <v>180</v>
      </c>
      <c r="AT111" s="27">
        <v>41.962401800000002</v>
      </c>
      <c r="AU111" s="27">
        <v>41.958618000000001</v>
      </c>
      <c r="AV111" s="27">
        <v>41.965517300000002</v>
      </c>
      <c r="AW111" s="27">
        <v>41.973030999999999</v>
      </c>
    </row>
    <row r="112" spans="1:49" x14ac:dyDescent="0.25">
      <c r="A112" s="2">
        <v>2</v>
      </c>
      <c r="B112" s="27">
        <v>1.6212553266223282</v>
      </c>
      <c r="C112" s="60"/>
      <c r="D112" s="42"/>
      <c r="H112" s="43"/>
      <c r="I112" s="43"/>
      <c r="J112" s="43"/>
      <c r="Z112" s="16" t="s">
        <v>181</v>
      </c>
      <c r="AT112" s="27">
        <v>42.960720999999999</v>
      </c>
      <c r="AU112" s="27">
        <v>42.958767000000002</v>
      </c>
      <c r="AV112" s="27">
        <v>42.961154100000002</v>
      </c>
      <c r="AW112" s="27">
        <v>42.968519000000001</v>
      </c>
    </row>
    <row r="113" spans="1:56" x14ac:dyDescent="0.25">
      <c r="A113" s="2">
        <v>3</v>
      </c>
      <c r="B113" s="27">
        <v>1.5526328490769452</v>
      </c>
      <c r="C113" s="27">
        <v>1.5121279892299686</v>
      </c>
      <c r="D113" s="42"/>
      <c r="H113" s="43"/>
      <c r="I113" s="43"/>
      <c r="J113" s="43"/>
      <c r="Z113" s="16" t="s">
        <v>182</v>
      </c>
      <c r="AT113" s="27">
        <v>43.961559999999999</v>
      </c>
      <c r="AU113" s="27">
        <v>43.955480999999999</v>
      </c>
      <c r="AV113" s="27">
        <v>43.959408799999999</v>
      </c>
      <c r="AW113" s="27">
        <v>43.959692799999999</v>
      </c>
    </row>
    <row r="114" spans="1:56" x14ac:dyDescent="0.25">
      <c r="A114" s="2">
        <v>4</v>
      </c>
      <c r="B114" s="50"/>
      <c r="C114" s="27">
        <v>1.5040446658818245</v>
      </c>
      <c r="D114" s="42"/>
      <c r="H114" s="43"/>
      <c r="I114" s="43"/>
      <c r="J114" s="43"/>
      <c r="Z114" s="16" t="s">
        <v>183</v>
      </c>
      <c r="AT114" s="27">
        <v>44.960697000000003</v>
      </c>
      <c r="AU114" s="27">
        <v>44.956192999999999</v>
      </c>
      <c r="AV114" s="27">
        <v>44.955910000000003</v>
      </c>
      <c r="AW114" s="27">
        <v>44.958127900000001</v>
      </c>
    </row>
    <row r="115" spans="1:56" x14ac:dyDescent="0.25">
      <c r="A115" s="2">
        <v>5</v>
      </c>
      <c r="B115" s="50"/>
      <c r="C115" s="60"/>
      <c r="D115" s="42"/>
      <c r="H115" s="43"/>
      <c r="I115" s="43"/>
      <c r="J115" s="43"/>
      <c r="Z115" s="16" t="s">
        <v>184</v>
      </c>
      <c r="AU115" s="27">
        <v>45.953690000000002</v>
      </c>
      <c r="AV115" s="27">
        <v>45.955173899999998</v>
      </c>
      <c r="AW115" s="27">
        <v>45.952632700000002</v>
      </c>
      <c r="AX115" s="27">
        <v>45.960203200000002</v>
      </c>
    </row>
    <row r="116" spans="1:56" x14ac:dyDescent="0.25">
      <c r="A116" s="2">
        <v>6</v>
      </c>
      <c r="B116" s="50"/>
      <c r="C116" s="60"/>
      <c r="D116" s="42"/>
      <c r="H116" s="43"/>
      <c r="I116" s="43"/>
      <c r="J116" s="43"/>
      <c r="Z116" s="16" t="s">
        <v>185</v>
      </c>
      <c r="AU116" s="27">
        <v>46.954543000000001</v>
      </c>
      <c r="AV116" s="27">
        <v>46.952409600000003</v>
      </c>
      <c r="AW116" s="27">
        <v>46.951764900000001</v>
      </c>
      <c r="AX116" s="27">
        <v>46.954910400000003</v>
      </c>
    </row>
    <row r="117" spans="1:56" x14ac:dyDescent="0.25">
      <c r="A117" s="2">
        <v>7</v>
      </c>
      <c r="B117" s="50"/>
      <c r="C117" s="60"/>
      <c r="D117" s="27">
        <v>1.2991330348645937</v>
      </c>
      <c r="H117" s="43"/>
      <c r="I117" s="43"/>
      <c r="J117" s="43"/>
      <c r="Z117" s="16" t="s">
        <v>186</v>
      </c>
      <c r="AU117" s="27">
        <v>47.952534</v>
      </c>
      <c r="AV117" s="27">
        <v>47.95223</v>
      </c>
      <c r="AW117" s="27">
        <v>47.947946700000003</v>
      </c>
      <c r="AX117" s="27">
        <v>47.952256900000002</v>
      </c>
      <c r="AY117" s="27">
        <v>47.954033000000003</v>
      </c>
    </row>
    <row r="118" spans="1:56" x14ac:dyDescent="0.25">
      <c r="A118" s="2">
        <v>8</v>
      </c>
      <c r="B118" s="50"/>
      <c r="C118" s="60"/>
      <c r="D118" s="42"/>
      <c r="H118" s="43"/>
      <c r="I118" s="43"/>
      <c r="J118" s="43"/>
      <c r="Z118" s="16" t="s">
        <v>187</v>
      </c>
      <c r="AV118" s="27">
        <v>48.950021999999997</v>
      </c>
      <c r="AW118" s="27">
        <v>48.947870500000001</v>
      </c>
      <c r="AX118" s="27">
        <v>48.948516599999998</v>
      </c>
      <c r="AY118" s="27">
        <v>48.951337700000003</v>
      </c>
    </row>
    <row r="119" spans="1:56" x14ac:dyDescent="0.25">
      <c r="A119" s="2">
        <v>9</v>
      </c>
      <c r="B119" s="50"/>
      <c r="C119" s="60"/>
      <c r="D119" s="42"/>
      <c r="E119" s="27">
        <v>1.1641836090425788</v>
      </c>
      <c r="H119" s="43"/>
      <c r="I119" s="43"/>
      <c r="J119" s="43"/>
      <c r="Z119" s="16" t="s">
        <v>188</v>
      </c>
      <c r="AV119" s="27">
        <v>49.952185999999998</v>
      </c>
      <c r="AW119" s="27">
        <v>49.944785799999998</v>
      </c>
      <c r="AX119" s="27">
        <v>49.947161299999998</v>
      </c>
      <c r="AY119" s="27">
        <v>49.946046299999999</v>
      </c>
      <c r="AZ119" s="27">
        <v>49.954239800000003</v>
      </c>
    </row>
    <row r="120" spans="1:56" x14ac:dyDescent="0.25">
      <c r="A120" s="2">
        <v>10</v>
      </c>
      <c r="B120" s="50"/>
      <c r="C120" s="60"/>
      <c r="D120" s="42"/>
      <c r="H120" s="43"/>
      <c r="I120" s="43"/>
      <c r="J120" s="43"/>
      <c r="Z120" s="16" t="s">
        <v>189</v>
      </c>
      <c r="AX120" s="27">
        <v>50.943962499999998</v>
      </c>
      <c r="AY120" s="27">
        <v>50.944769000000001</v>
      </c>
      <c r="AZ120" s="27">
        <v>50.948212900000001</v>
      </c>
    </row>
    <row r="121" spans="1:56" x14ac:dyDescent="0.25">
      <c r="A121" s="2">
        <v>11</v>
      </c>
      <c r="B121" s="50"/>
      <c r="C121" s="60"/>
      <c r="D121" s="42"/>
      <c r="F121" s="23">
        <v>1.0394207257924954</v>
      </c>
      <c r="H121" s="43"/>
      <c r="I121" s="43"/>
      <c r="J121" s="43"/>
      <c r="Z121" s="16" t="s">
        <v>190</v>
      </c>
      <c r="AX121" s="27">
        <v>51.944778599999999</v>
      </c>
      <c r="AY121" s="27">
        <v>51.9405097</v>
      </c>
      <c r="AZ121" s="27">
        <v>51.945567199999999</v>
      </c>
      <c r="BA121" s="27">
        <v>51.948113999999997</v>
      </c>
    </row>
    <row r="122" spans="1:56" x14ac:dyDescent="0.25">
      <c r="A122" s="2">
        <v>12</v>
      </c>
      <c r="B122" s="50"/>
      <c r="C122" s="60"/>
      <c r="D122" s="42"/>
      <c r="G122" s="27">
        <v>0.9860379051542888</v>
      </c>
      <c r="H122" s="43"/>
      <c r="I122" s="43"/>
      <c r="J122" s="43"/>
      <c r="Z122" s="16" t="s">
        <v>191</v>
      </c>
      <c r="AY122" s="27">
        <v>52.940651000000003</v>
      </c>
      <c r="AZ122" s="27">
        <v>52.941291200000002</v>
      </c>
      <c r="BA122" s="27">
        <v>52.9453095</v>
      </c>
    </row>
    <row r="123" spans="1:56" x14ac:dyDescent="0.25">
      <c r="A123" s="2">
        <v>13</v>
      </c>
      <c r="B123" s="50"/>
      <c r="C123" s="60"/>
      <c r="D123" s="42"/>
      <c r="H123" s="43"/>
      <c r="I123" s="43"/>
      <c r="J123" s="43"/>
      <c r="Z123" s="16" t="s">
        <v>192</v>
      </c>
      <c r="AY123" s="27">
        <v>53.938882200000002</v>
      </c>
      <c r="AZ123" s="27">
        <v>53.940360499999997</v>
      </c>
      <c r="BA123" s="27">
        <v>53.939612099999998</v>
      </c>
      <c r="BB123" s="27">
        <v>53.948459999999997</v>
      </c>
    </row>
    <row r="124" spans="1:56" x14ac:dyDescent="0.25">
      <c r="A124" s="2">
        <v>14</v>
      </c>
      <c r="B124" s="50"/>
      <c r="C124" s="60"/>
      <c r="D124" s="42"/>
      <c r="H124" s="27">
        <v>0.92047940805848538</v>
      </c>
      <c r="I124" s="43"/>
      <c r="J124" s="43"/>
      <c r="Z124" s="16" t="s">
        <v>193</v>
      </c>
      <c r="AY124" s="27">
        <v>54.940841499999998</v>
      </c>
      <c r="AZ124" s="27">
        <v>54.938046300000003</v>
      </c>
      <c r="BA124" s="27">
        <v>54.9382947</v>
      </c>
      <c r="BB124" s="27">
        <v>54.942003399999997</v>
      </c>
    </row>
    <row r="125" spans="1:56" x14ac:dyDescent="0.25">
      <c r="A125" s="2">
        <v>15</v>
      </c>
      <c r="B125" s="50"/>
      <c r="C125" s="60"/>
      <c r="D125" s="42"/>
      <c r="H125" s="43"/>
      <c r="I125" s="43"/>
      <c r="J125" s="43"/>
      <c r="Z125" s="16" t="s">
        <v>194</v>
      </c>
      <c r="AZ125" s="27">
        <v>55.9389064</v>
      </c>
      <c r="BA125" s="27">
        <v>55.934939300000003</v>
      </c>
      <c r="BB125" s="27">
        <v>55.939842599999999</v>
      </c>
      <c r="BC125" s="27">
        <v>55.942134000000003</v>
      </c>
    </row>
    <row r="126" spans="1:56" x14ac:dyDescent="0.25">
      <c r="A126" s="2">
        <v>16</v>
      </c>
      <c r="B126" s="50"/>
      <c r="C126" s="60"/>
      <c r="D126" s="42"/>
      <c r="H126" s="43"/>
      <c r="I126" s="27">
        <v>0.90347043319054465</v>
      </c>
      <c r="J126" s="43"/>
      <c r="Z126" s="16" t="s">
        <v>195</v>
      </c>
      <c r="BA126" s="27">
        <v>56.935395700000001</v>
      </c>
      <c r="BB126" s="27">
        <v>56.936293800000001</v>
      </c>
      <c r="BC126" s="27">
        <v>56.939774999999997</v>
      </c>
    </row>
    <row r="127" spans="1:56" x14ac:dyDescent="0.25">
      <c r="A127" s="2">
        <v>17</v>
      </c>
      <c r="B127" s="50"/>
      <c r="C127" s="60"/>
      <c r="D127" s="42"/>
      <c r="H127" s="43"/>
      <c r="I127" s="43"/>
      <c r="J127" s="43"/>
      <c r="Z127" s="16" t="s">
        <v>196</v>
      </c>
      <c r="BA127" s="27">
        <v>57.933277799999999</v>
      </c>
      <c r="BB127" s="27">
        <v>57.935755299999997</v>
      </c>
      <c r="BC127" s="27">
        <v>57.935347100000001</v>
      </c>
      <c r="BD127" s="27">
        <v>57.944539399999996</v>
      </c>
    </row>
    <row r="128" spans="1:56" x14ac:dyDescent="0.25">
      <c r="A128" s="2">
        <v>18</v>
      </c>
      <c r="B128" s="50"/>
      <c r="C128" s="60"/>
      <c r="D128" s="42"/>
      <c r="H128" s="43"/>
      <c r="I128" s="43"/>
      <c r="J128" s="43"/>
      <c r="Z128" s="16" t="s">
        <v>197</v>
      </c>
      <c r="BB128" s="27">
        <v>58.933197800000002</v>
      </c>
      <c r="BC128" s="27">
        <v>58.934350199999997</v>
      </c>
      <c r="BD128" s="27">
        <v>58.939503899999998</v>
      </c>
    </row>
    <row r="129" spans="1:62" x14ac:dyDescent="0.25">
      <c r="A129" s="2">
        <v>19</v>
      </c>
      <c r="B129" s="50"/>
      <c r="C129" s="60"/>
      <c r="D129" s="42"/>
      <c r="H129" s="43"/>
      <c r="I129" s="43"/>
      <c r="J129" s="27">
        <v>0.86527202751660437</v>
      </c>
      <c r="Z129" s="16" t="s">
        <v>198</v>
      </c>
      <c r="BB129" s="27">
        <v>59.9338202</v>
      </c>
      <c r="BC129" s="27">
        <v>59.930788999999997</v>
      </c>
      <c r="BD129" s="27">
        <v>59.937366400000002</v>
      </c>
      <c r="BE129" s="27">
        <v>59.941831000000001</v>
      </c>
    </row>
    <row r="130" spans="1:62" x14ac:dyDescent="0.25">
      <c r="B130" s="50"/>
      <c r="C130" s="42"/>
      <c r="D130" s="50"/>
      <c r="E130" s="50"/>
      <c r="Z130" s="16" t="s">
        <v>199</v>
      </c>
      <c r="BB130" s="27">
        <v>60.932477800000001</v>
      </c>
      <c r="BC130" s="27">
        <v>60.9310586</v>
      </c>
      <c r="BD130" s="27">
        <v>60.933461600000001</v>
      </c>
      <c r="BE130" s="27">
        <v>60.939259999999997</v>
      </c>
    </row>
    <row r="131" spans="1:62" x14ac:dyDescent="0.25">
      <c r="B131" s="54"/>
      <c r="C131" s="54"/>
      <c r="D131" s="54"/>
      <c r="Z131" s="16" t="s">
        <v>200</v>
      </c>
      <c r="BC131" s="27">
        <v>61.928346400000002</v>
      </c>
      <c r="BD131" s="27">
        <v>61.932586000000001</v>
      </c>
      <c r="BE131" s="27">
        <v>61.934333000000002</v>
      </c>
    </row>
    <row r="132" spans="1:62" x14ac:dyDescent="0.25">
      <c r="A132" s="2" t="s">
        <v>370</v>
      </c>
      <c r="B132" s="50"/>
      <c r="C132" s="60"/>
      <c r="D132" s="42"/>
      <c r="H132" s="43"/>
      <c r="I132" s="43"/>
      <c r="J132" s="43"/>
      <c r="Z132" s="16" t="s">
        <v>201</v>
      </c>
      <c r="BC132" s="27">
        <v>62.9296699</v>
      </c>
      <c r="BD132" s="27">
        <v>62.929599199999998</v>
      </c>
      <c r="BE132" s="27">
        <v>62.933214100000001</v>
      </c>
    </row>
    <row r="133" spans="1:62" x14ac:dyDescent="0.25">
      <c r="B133" s="50"/>
      <c r="C133" s="60"/>
      <c r="D133" s="42"/>
      <c r="H133" s="43"/>
      <c r="I133" s="43"/>
      <c r="J133" s="43"/>
      <c r="Z133" s="16" t="s">
        <v>202</v>
      </c>
      <c r="BC133" s="27">
        <v>63.927968</v>
      </c>
      <c r="BD133" s="27">
        <v>63.929766100000002</v>
      </c>
      <c r="BE133" s="27">
        <v>63.929145400000003</v>
      </c>
      <c r="BF133" s="27">
        <v>63.936836999999997</v>
      </c>
      <c r="BG133" s="27">
        <v>63.941569999999999</v>
      </c>
    </row>
    <row r="134" spans="1:62" x14ac:dyDescent="0.25">
      <c r="A134" s="2" t="s">
        <v>12</v>
      </c>
      <c r="B134" s="23" t="s">
        <v>369</v>
      </c>
      <c r="C134" s="60"/>
      <c r="D134" s="42"/>
      <c r="H134" s="43"/>
      <c r="I134" s="43"/>
      <c r="J134" s="43"/>
      <c r="Z134" s="16" t="s">
        <v>203</v>
      </c>
      <c r="BD134" s="27">
        <v>64.927792400000001</v>
      </c>
      <c r="BE134" s="27">
        <v>64.929243700000001</v>
      </c>
      <c r="BF134" s="27">
        <v>64.932738900000004</v>
      </c>
      <c r="BG134" s="27">
        <v>64.939440000000005</v>
      </c>
    </row>
    <row r="135" spans="1:62" x14ac:dyDescent="0.25">
      <c r="A135" s="2" t="s">
        <v>348</v>
      </c>
      <c r="B135" s="27">
        <v>1</v>
      </c>
      <c r="C135" s="27">
        <v>2</v>
      </c>
      <c r="D135" s="27">
        <v>3</v>
      </c>
      <c r="E135" s="27">
        <v>4</v>
      </c>
      <c r="F135" s="23">
        <v>5</v>
      </c>
      <c r="G135" s="27">
        <v>6</v>
      </c>
      <c r="H135" s="27">
        <v>7</v>
      </c>
      <c r="I135" s="27">
        <v>8</v>
      </c>
      <c r="J135" s="27">
        <v>9</v>
      </c>
      <c r="Z135" s="16" t="s">
        <v>204</v>
      </c>
      <c r="BD135" s="27">
        <v>65.928871000000001</v>
      </c>
      <c r="BE135" s="27">
        <v>65.926035200000001</v>
      </c>
      <c r="BF135" s="27">
        <v>65.931590799999995</v>
      </c>
      <c r="BG135" s="27">
        <v>65.933847</v>
      </c>
    </row>
    <row r="136" spans="1:62" x14ac:dyDescent="0.25">
      <c r="A136" s="2">
        <v>1</v>
      </c>
      <c r="B136" s="27">
        <v>1.2833101815966044</v>
      </c>
      <c r="C136" s="43"/>
      <c r="D136" s="42"/>
      <c r="H136" s="43"/>
      <c r="I136" s="43"/>
      <c r="J136" s="43"/>
      <c r="Z136" s="16" t="s">
        <v>205</v>
      </c>
      <c r="BD136" s="27">
        <v>66.927745999999999</v>
      </c>
      <c r="BE136" s="27">
        <v>66.9271289</v>
      </c>
      <c r="BF136" s="27">
        <v>66.928203600000003</v>
      </c>
      <c r="BG136" s="27">
        <v>66.932959999999994</v>
      </c>
    </row>
    <row r="137" spans="1:62" x14ac:dyDescent="0.25">
      <c r="A137" s="2">
        <v>2</v>
      </c>
      <c r="B137" s="27">
        <v>1.1103071378728733</v>
      </c>
      <c r="C137" s="43"/>
      <c r="D137" s="42"/>
      <c r="H137" s="43"/>
      <c r="I137" s="43"/>
      <c r="J137" s="43"/>
      <c r="Z137" s="16" t="s">
        <v>206</v>
      </c>
      <c r="BE137" s="27">
        <v>67.9248458</v>
      </c>
      <c r="BF137" s="27">
        <v>67.927981700000004</v>
      </c>
      <c r="BG137" s="27">
        <v>67.928104000000005</v>
      </c>
    </row>
    <row r="138" spans="1:62" x14ac:dyDescent="0.25">
      <c r="A138" s="2">
        <v>3</v>
      </c>
      <c r="B138" s="27">
        <v>1.0484391462175604</v>
      </c>
      <c r="C138" s="27">
        <v>0.49936832791053121</v>
      </c>
      <c r="D138" s="42"/>
      <c r="H138" s="43"/>
      <c r="I138" s="43"/>
      <c r="J138" s="43"/>
      <c r="Z138" s="16" t="s">
        <v>207</v>
      </c>
      <c r="BE138" s="27">
        <v>68.926551900000007</v>
      </c>
      <c r="BF138" s="27">
        <v>68.9255809</v>
      </c>
      <c r="BG138" s="27">
        <v>68.927970000000002</v>
      </c>
    </row>
    <row r="139" spans="1:62" x14ac:dyDescent="0.25">
      <c r="A139" s="2">
        <v>4</v>
      </c>
      <c r="B139" s="50"/>
      <c r="C139" s="27">
        <v>0.43060856564791961</v>
      </c>
      <c r="D139" s="42"/>
      <c r="H139" s="43"/>
      <c r="I139" s="43"/>
      <c r="J139" s="43"/>
      <c r="Z139" s="16" t="s">
        <v>208</v>
      </c>
      <c r="BE139" s="27">
        <v>69.925324900000007</v>
      </c>
      <c r="BF139" s="27">
        <v>69.9260278</v>
      </c>
      <c r="BG139" s="27">
        <v>69.924249799999998</v>
      </c>
      <c r="BH139" s="27">
        <v>69.930929000000006</v>
      </c>
    </row>
    <row r="140" spans="1:62" x14ac:dyDescent="0.25">
      <c r="A140" s="2">
        <v>5</v>
      </c>
      <c r="B140" s="50"/>
      <c r="C140" s="43"/>
      <c r="D140" s="42"/>
      <c r="H140" s="43"/>
      <c r="I140" s="43"/>
      <c r="J140" s="43"/>
      <c r="Z140" s="16" t="s">
        <v>209</v>
      </c>
      <c r="BF140" s="27">
        <v>70.924700599999994</v>
      </c>
      <c r="BG140" s="27">
        <v>70.924953700000003</v>
      </c>
      <c r="BH140" s="27">
        <v>70.927114000000003</v>
      </c>
    </row>
    <row r="141" spans="1:62" x14ac:dyDescent="0.25">
      <c r="A141" s="2">
        <v>6</v>
      </c>
      <c r="B141" s="50"/>
      <c r="C141" s="43"/>
      <c r="D141" s="42"/>
      <c r="H141" s="43"/>
      <c r="I141" s="43"/>
      <c r="J141" s="43"/>
      <c r="Z141" s="16" t="s">
        <v>210</v>
      </c>
      <c r="BF141" s="27">
        <v>71.926365099999998</v>
      </c>
      <c r="BG141" s="27">
        <v>71.922079999999994</v>
      </c>
      <c r="BH141" s="27">
        <v>71.926750999999996</v>
      </c>
      <c r="BI141" s="27">
        <v>71.927113000000006</v>
      </c>
    </row>
    <row r="142" spans="1:62" x14ac:dyDescent="0.25">
      <c r="A142" s="2">
        <v>7</v>
      </c>
      <c r="B142" s="50"/>
      <c r="C142" s="43"/>
      <c r="D142" s="27">
        <v>0.23661270390043729</v>
      </c>
      <c r="H142" s="43"/>
      <c r="I142" s="43"/>
      <c r="J142" s="43"/>
      <c r="Z142" s="16" t="s">
        <v>211</v>
      </c>
      <c r="BF142" s="27">
        <v>72.925139999999999</v>
      </c>
      <c r="BG142" s="27">
        <v>72.923463900000002</v>
      </c>
      <c r="BH142" s="27">
        <v>72.923833999999999</v>
      </c>
      <c r="BI142" s="27">
        <v>72.926775000000006</v>
      </c>
    </row>
    <row r="143" spans="1:62" x14ac:dyDescent="0.25">
      <c r="A143" s="2">
        <v>8</v>
      </c>
      <c r="B143" s="50"/>
      <c r="C143" s="43"/>
      <c r="D143" s="42"/>
      <c r="H143" s="43"/>
      <c r="I143" s="43"/>
      <c r="J143" s="43"/>
      <c r="Z143" s="16" t="s">
        <v>212</v>
      </c>
      <c r="BG143" s="27">
        <v>73.921178800000007</v>
      </c>
      <c r="BH143" s="27">
        <v>73.923929599999994</v>
      </c>
      <c r="BI143" s="27">
        <v>73.922477099999995</v>
      </c>
      <c r="BJ143" s="27">
        <v>73.929902999999996</v>
      </c>
    </row>
    <row r="144" spans="1:62" x14ac:dyDescent="0.25">
      <c r="A144" s="2">
        <v>9</v>
      </c>
      <c r="B144" s="50"/>
      <c r="C144" s="43"/>
      <c r="D144" s="42"/>
      <c r="E144" s="27">
        <v>0.13862239005370564</v>
      </c>
      <c r="H144" s="43"/>
      <c r="I144" s="43"/>
      <c r="J144" s="43"/>
      <c r="Z144" s="16" t="s">
        <v>213</v>
      </c>
      <c r="BG144" s="27">
        <v>74.922859900000006</v>
      </c>
      <c r="BH144" s="27">
        <v>74.921595499999995</v>
      </c>
      <c r="BI144" s="27">
        <v>74.922523999999996</v>
      </c>
      <c r="BJ144" s="27">
        <v>74.925754999999995</v>
      </c>
    </row>
    <row r="145" spans="1:69" x14ac:dyDescent="0.25">
      <c r="A145" s="2">
        <v>10</v>
      </c>
      <c r="B145" s="50"/>
      <c r="C145" s="43"/>
      <c r="D145" s="42"/>
      <c r="E145" s="54"/>
      <c r="F145" s="23">
        <v>0.11418124598689067</v>
      </c>
      <c r="H145" s="43"/>
      <c r="I145" s="43"/>
      <c r="J145" s="43"/>
      <c r="Z145" s="16" t="s">
        <v>214</v>
      </c>
      <c r="BG145" s="27">
        <v>75.921402700000002</v>
      </c>
      <c r="BH145" s="27">
        <v>75.922393400000004</v>
      </c>
      <c r="BI145" s="27">
        <v>75.919206599999995</v>
      </c>
      <c r="BJ145" s="27">
        <v>75.924526999999998</v>
      </c>
      <c r="BK145" s="27">
        <v>75.925820000000002</v>
      </c>
    </row>
    <row r="146" spans="1:69" x14ac:dyDescent="0.25">
      <c r="A146" s="2">
        <v>11</v>
      </c>
      <c r="B146" s="50"/>
      <c r="C146" s="43"/>
      <c r="D146" s="42"/>
      <c r="E146" s="54"/>
      <c r="F146" s="49"/>
      <c r="H146" s="43"/>
      <c r="I146" s="43"/>
      <c r="J146" s="43"/>
      <c r="Z146" s="16" t="s">
        <v>215</v>
      </c>
      <c r="BH146" s="27">
        <v>76.920648799999995</v>
      </c>
      <c r="BI146" s="27">
        <v>76.919907699999996</v>
      </c>
      <c r="BJ146" s="27">
        <v>76.921373000000003</v>
      </c>
      <c r="BK146" s="27">
        <v>76.924599000000001</v>
      </c>
    </row>
    <row r="147" spans="1:69" x14ac:dyDescent="0.25">
      <c r="A147" s="2">
        <v>12</v>
      </c>
      <c r="B147" s="50"/>
      <c r="C147" s="43"/>
      <c r="D147" s="42"/>
      <c r="E147" s="54"/>
      <c r="F147" s="49"/>
      <c r="G147" s="27">
        <v>5.5961469181884826E-2</v>
      </c>
      <c r="H147" s="43"/>
      <c r="I147" s="43"/>
      <c r="J147" s="43"/>
      <c r="Z147" s="16" t="s">
        <v>216</v>
      </c>
      <c r="BH147" s="27">
        <v>77.921909999999997</v>
      </c>
      <c r="BI147" s="27">
        <v>77.917304000000001</v>
      </c>
      <c r="BJ147" s="27">
        <v>77.921141000000006</v>
      </c>
      <c r="BK147" s="27">
        <v>77.920396999999994</v>
      </c>
      <c r="BL147" s="27">
        <v>77.927980000000005</v>
      </c>
    </row>
    <row r="148" spans="1:69" x14ac:dyDescent="0.25">
      <c r="A148" s="2">
        <v>13</v>
      </c>
      <c r="B148" s="50"/>
      <c r="C148" s="43"/>
      <c r="D148" s="42"/>
      <c r="E148" s="54"/>
      <c r="F148" s="49"/>
      <c r="H148" s="43"/>
      <c r="I148" s="43"/>
      <c r="J148" s="43"/>
      <c r="Z148" s="16" t="s">
        <v>217</v>
      </c>
      <c r="BH148" s="27">
        <v>78.920860000000005</v>
      </c>
      <c r="BI148" s="27">
        <v>78.918497000000002</v>
      </c>
      <c r="BJ148" s="27">
        <v>78.918336100000005</v>
      </c>
      <c r="BK148" s="27">
        <v>78.920086999999995</v>
      </c>
      <c r="BL148" s="27">
        <v>78.923929999999999</v>
      </c>
    </row>
    <row r="149" spans="1:69" x14ac:dyDescent="0.25">
      <c r="A149" s="2">
        <v>14</v>
      </c>
      <c r="B149" s="50"/>
      <c r="C149" s="43"/>
      <c r="D149" s="42"/>
      <c r="E149" s="54"/>
      <c r="F149" s="49"/>
      <c r="H149" s="27">
        <v>3.6242071476753519E-2</v>
      </c>
      <c r="I149" s="43"/>
      <c r="J149" s="43"/>
      <c r="Z149" s="16" t="s">
        <v>218</v>
      </c>
      <c r="BI149" s="27">
        <v>79.916520500000004</v>
      </c>
      <c r="BJ149" s="27">
        <v>79.9185284</v>
      </c>
      <c r="BK149" s="27">
        <v>79.916375000000002</v>
      </c>
      <c r="BL149" s="27">
        <v>79.922501999999994</v>
      </c>
      <c r="BM149" s="27">
        <v>79.924430000000001</v>
      </c>
    </row>
    <row r="150" spans="1:69" x14ac:dyDescent="0.25">
      <c r="A150" s="2">
        <v>15</v>
      </c>
      <c r="B150" s="50"/>
      <c r="C150" s="43"/>
      <c r="D150" s="42"/>
      <c r="E150" s="54"/>
      <c r="F150" s="49"/>
      <c r="H150" s="43"/>
      <c r="I150" s="43"/>
      <c r="J150" s="43"/>
      <c r="Z150" s="16" t="s">
        <v>219</v>
      </c>
      <c r="BI150" s="27">
        <v>80.917991000000001</v>
      </c>
      <c r="BJ150" s="27">
        <v>80.916290000000004</v>
      </c>
      <c r="BK150" s="27">
        <v>80.916578000000001</v>
      </c>
      <c r="BL150" s="27">
        <v>80.919006999999993</v>
      </c>
      <c r="BM150" s="27">
        <v>80.923289999999994</v>
      </c>
    </row>
    <row r="151" spans="1:69" x14ac:dyDescent="0.25">
      <c r="A151" s="2">
        <v>16</v>
      </c>
      <c r="B151" s="50"/>
      <c r="C151" s="43"/>
      <c r="D151" s="42"/>
      <c r="E151" s="54"/>
      <c r="F151" s="49"/>
      <c r="H151" s="43"/>
      <c r="I151" s="27">
        <v>-6.5437137776740576E-3</v>
      </c>
      <c r="J151" s="43"/>
      <c r="Z151" s="16" t="s">
        <v>220</v>
      </c>
      <c r="BI151" s="27">
        <v>81.916708999999997</v>
      </c>
      <c r="BJ151" s="27">
        <v>81.916803000000002</v>
      </c>
      <c r="BK151" s="27">
        <v>81.913482999999999</v>
      </c>
      <c r="BL151" s="27">
        <v>81.918182999999999</v>
      </c>
      <c r="BM151" s="27">
        <v>81.918413000000001</v>
      </c>
    </row>
    <row r="152" spans="1:69" x14ac:dyDescent="0.25">
      <c r="A152" s="2">
        <v>17</v>
      </c>
      <c r="B152" s="50"/>
      <c r="C152" s="43"/>
      <c r="D152" s="42"/>
      <c r="E152" s="54"/>
      <c r="F152" s="49"/>
      <c r="H152" s="43"/>
      <c r="I152" s="43"/>
      <c r="J152" s="43"/>
      <c r="Z152" s="16" t="s">
        <v>221</v>
      </c>
      <c r="BJ152" s="27">
        <v>82.915164000000004</v>
      </c>
      <c r="BK152" s="27">
        <v>82.914134000000004</v>
      </c>
      <c r="BL152" s="27">
        <v>82.915205</v>
      </c>
      <c r="BM152" s="27">
        <v>82.917619999999999</v>
      </c>
    </row>
    <row r="153" spans="1:69" x14ac:dyDescent="0.25">
      <c r="A153" s="2">
        <v>18</v>
      </c>
      <c r="B153" s="50"/>
      <c r="C153" s="43"/>
      <c r="D153" s="42"/>
      <c r="E153" s="54"/>
      <c r="F153" s="49"/>
      <c r="H153" s="43"/>
      <c r="I153" s="43"/>
      <c r="J153" s="43"/>
      <c r="Z153" s="16" t="s">
        <v>222</v>
      </c>
      <c r="BJ153" s="27">
        <v>83.916522999999998</v>
      </c>
      <c r="BK153" s="27">
        <v>83.911506399999993</v>
      </c>
      <c r="BL153" s="27">
        <v>83.914383999999998</v>
      </c>
      <c r="BM153" s="27">
        <v>83.913427999999996</v>
      </c>
      <c r="BN153" s="27">
        <v>83.920889000000003</v>
      </c>
    </row>
    <row r="154" spans="1:69" x14ac:dyDescent="0.25">
      <c r="A154" s="2">
        <v>19</v>
      </c>
      <c r="B154" s="50"/>
      <c r="C154" s="43"/>
      <c r="D154" s="42"/>
      <c r="E154" s="54"/>
      <c r="F154" s="49"/>
      <c r="H154" s="43"/>
      <c r="I154" s="43"/>
      <c r="J154" s="27">
        <v>-9.9892517341248575E-3</v>
      </c>
      <c r="Z154" s="16" t="s">
        <v>223</v>
      </c>
      <c r="BK154" s="27">
        <v>84.912537099999994</v>
      </c>
      <c r="BL154" s="27">
        <v>84.911799599999995</v>
      </c>
      <c r="BM154" s="27">
        <v>84.912942000000001</v>
      </c>
      <c r="BN154" s="27">
        <v>84.916442000000004</v>
      </c>
    </row>
    <row r="155" spans="1:69" x14ac:dyDescent="0.25">
      <c r="B155" s="42"/>
      <c r="C155" s="42"/>
      <c r="D155" s="42"/>
      <c r="E155" s="54"/>
      <c r="F155" s="49"/>
      <c r="H155" s="55"/>
      <c r="Z155" s="16" t="s">
        <v>224</v>
      </c>
      <c r="BK155" s="27">
        <v>85.910613999999995</v>
      </c>
      <c r="BL155" s="27">
        <v>85.911178100000001</v>
      </c>
      <c r="BM155" s="27">
        <v>85.909273200000001</v>
      </c>
      <c r="BN155" s="27">
        <v>85.914934000000002</v>
      </c>
      <c r="BO155" s="27">
        <v>85.916330000000002</v>
      </c>
    </row>
    <row r="156" spans="1:69" x14ac:dyDescent="0.25">
      <c r="B156" s="42"/>
      <c r="C156" s="42"/>
      <c r="D156" s="42"/>
      <c r="E156" s="54"/>
      <c r="F156" s="49"/>
      <c r="H156" s="55"/>
      <c r="Z156" s="16" t="s">
        <v>225</v>
      </c>
      <c r="BL156" s="27">
        <v>86.909183600000006</v>
      </c>
      <c r="BM156" s="27">
        <v>86.908890200000002</v>
      </c>
      <c r="BN156" s="27">
        <v>86.910888799999995</v>
      </c>
      <c r="BO156" s="27">
        <v>86.914730000000006</v>
      </c>
    </row>
    <row r="157" spans="1:69" x14ac:dyDescent="0.25">
      <c r="B157" s="42"/>
      <c r="C157" s="42"/>
      <c r="D157" s="42"/>
      <c r="E157" s="54"/>
      <c r="F157" s="49"/>
      <c r="H157" s="55"/>
      <c r="Z157" s="16" t="s">
        <v>226</v>
      </c>
      <c r="BL157" s="27">
        <v>87.911323999999993</v>
      </c>
      <c r="BM157" s="27">
        <v>87.905624900000007</v>
      </c>
      <c r="BN157" s="27">
        <v>87.909503000000001</v>
      </c>
      <c r="BO157" s="27">
        <v>87.910229999999999</v>
      </c>
    </row>
    <row r="158" spans="1:69" x14ac:dyDescent="0.25">
      <c r="B158" s="42"/>
      <c r="C158" s="42"/>
      <c r="D158" s="42"/>
      <c r="E158" s="54"/>
      <c r="F158" s="49"/>
      <c r="H158" s="55"/>
      <c r="Z158" s="16" t="s">
        <v>227</v>
      </c>
      <c r="BM158" s="27">
        <v>88.907458000000005</v>
      </c>
      <c r="BN158" s="27">
        <v>88.905856</v>
      </c>
      <c r="BO158" s="27">
        <v>88.908900299999999</v>
      </c>
      <c r="BP158" s="27">
        <v>88.913450999999995</v>
      </c>
    </row>
    <row r="159" spans="1:69" x14ac:dyDescent="0.25">
      <c r="B159" s="42"/>
      <c r="C159" s="42"/>
      <c r="D159" s="42"/>
      <c r="E159" s="54"/>
      <c r="F159" s="49"/>
      <c r="H159" s="55"/>
      <c r="Z159" s="16" t="s">
        <v>228</v>
      </c>
      <c r="BN159" s="27">
        <v>89.907159899999996</v>
      </c>
      <c r="BO159" s="27">
        <v>89.904707999999999</v>
      </c>
      <c r="BP159" s="27">
        <v>89.911268000000007</v>
      </c>
    </row>
    <row r="160" spans="1:69" x14ac:dyDescent="0.25">
      <c r="B160" s="42"/>
      <c r="C160" s="42"/>
      <c r="D160" s="42"/>
      <c r="E160" s="54"/>
      <c r="F160" s="49"/>
      <c r="H160" s="55"/>
      <c r="Z160" s="16" t="s">
        <v>229</v>
      </c>
      <c r="BN160" s="27">
        <v>90.907300699999993</v>
      </c>
      <c r="BO160" s="27">
        <v>90.905644199999998</v>
      </c>
      <c r="BP160" s="27">
        <v>90.906992000000002</v>
      </c>
      <c r="BQ160" s="27">
        <v>90.911756999999994</v>
      </c>
    </row>
    <row r="161" spans="2:76" x14ac:dyDescent="0.25">
      <c r="B161" s="42"/>
      <c r="C161" s="42"/>
      <c r="D161" s="42"/>
      <c r="E161" s="54"/>
      <c r="F161" s="49"/>
      <c r="H161" s="55"/>
      <c r="Z161" s="16" t="s">
        <v>230</v>
      </c>
      <c r="BN161" s="27">
        <v>91.908940999999999</v>
      </c>
      <c r="BO161" s="27">
        <v>91.905039200000004</v>
      </c>
      <c r="BP161" s="27">
        <v>91.905039200000004</v>
      </c>
      <c r="BQ161" s="27">
        <v>91.906808999999996</v>
      </c>
      <c r="BR161" s="27">
        <v>91.915260000000004</v>
      </c>
    </row>
    <row r="162" spans="2:76" x14ac:dyDescent="0.25">
      <c r="B162" s="42"/>
      <c r="C162" s="42"/>
      <c r="D162" s="42"/>
      <c r="E162" s="54"/>
      <c r="F162" s="49"/>
      <c r="H162" s="55"/>
      <c r="Z162" s="16" t="s">
        <v>371</v>
      </c>
      <c r="BN162" s="27">
        <v>92.909580000000005</v>
      </c>
      <c r="BO162" s="27">
        <v>92.906477100000004</v>
      </c>
      <c r="BP162" s="27">
        <v>92.906378000000004</v>
      </c>
      <c r="BQ162" s="27">
        <v>92.906813999999997</v>
      </c>
      <c r="BR162" s="27">
        <v>92.910241999999997</v>
      </c>
    </row>
    <row r="163" spans="2:76" x14ac:dyDescent="0.25">
      <c r="B163" s="50"/>
      <c r="C163" s="54"/>
      <c r="Z163" s="16" t="s">
        <v>371</v>
      </c>
      <c r="BO163" s="27">
        <v>93.906319100000005</v>
      </c>
      <c r="BP163" s="27">
        <v>93.907281900000001</v>
      </c>
      <c r="BQ163" s="27">
        <v>93.9050862</v>
      </c>
      <c r="BR163" s="27">
        <v>93.909655000000001</v>
      </c>
      <c r="BS163" s="27">
        <v>93.911356999999995</v>
      </c>
    </row>
    <row r="164" spans="2:76" x14ac:dyDescent="0.25">
      <c r="Z164" s="16" t="s">
        <v>371</v>
      </c>
      <c r="BO164" s="27">
        <v>94.908037300000004</v>
      </c>
      <c r="BP164" s="27">
        <v>94.906831600000004</v>
      </c>
      <c r="BQ164" s="27">
        <v>94.905837899999995</v>
      </c>
      <c r="BR164" s="27">
        <v>94.907662000000002</v>
      </c>
      <c r="BS164" s="27">
        <v>94.910410999999996</v>
      </c>
    </row>
    <row r="165" spans="2:76" x14ac:dyDescent="0.25">
      <c r="B165" s="50"/>
      <c r="C165" s="54"/>
      <c r="D165" s="42"/>
      <c r="E165" s="54"/>
      <c r="F165" s="49"/>
      <c r="H165" s="55"/>
      <c r="Z165" s="16" t="s">
        <v>372</v>
      </c>
      <c r="BO165" s="27">
        <v>95.908271999999997</v>
      </c>
      <c r="BP165" s="27">
        <v>95.908096999999998</v>
      </c>
      <c r="BQ165" s="27">
        <v>95.904675499999996</v>
      </c>
      <c r="BR165" s="27">
        <v>95.907867999999993</v>
      </c>
      <c r="BS165" s="27">
        <v>95.907595999999998</v>
      </c>
      <c r="BT165" s="27">
        <v>95.914511000000005</v>
      </c>
    </row>
    <row r="166" spans="2:76" x14ac:dyDescent="0.25">
      <c r="Z166" s="16" t="s">
        <v>371</v>
      </c>
      <c r="BP166" s="27">
        <v>96.908092999999994</v>
      </c>
      <c r="BQ166" s="27">
        <v>96.906017899999995</v>
      </c>
      <c r="BR166" s="27">
        <v>96.906362000000001</v>
      </c>
      <c r="BS166" s="27">
        <v>96.907600000000002</v>
      </c>
    </row>
    <row r="167" spans="2:76" x14ac:dyDescent="0.25">
      <c r="Z167" s="16" t="s">
        <v>373</v>
      </c>
      <c r="BP167" s="27">
        <v>97.910326999999995</v>
      </c>
      <c r="BQ167" s="27">
        <v>97.905405000000002</v>
      </c>
      <c r="BR167" s="27">
        <v>97.907211000000004</v>
      </c>
      <c r="BS167" s="27">
        <v>97.905287000000001</v>
      </c>
      <c r="BT167" s="27">
        <v>97.910715999999994</v>
      </c>
      <c r="BU167" s="27">
        <v>97.912760000000006</v>
      </c>
    </row>
    <row r="168" spans="2:76" x14ac:dyDescent="0.25">
      <c r="Z168" s="16" t="s">
        <v>374</v>
      </c>
      <c r="BQ168" s="27">
        <v>98.907708700000001</v>
      </c>
      <c r="BR168" s="27">
        <v>98.906252199999997</v>
      </c>
      <c r="BS168" s="27">
        <v>98.905937100000003</v>
      </c>
      <c r="BT168" s="27">
        <v>98.908195000000006</v>
      </c>
      <c r="BU168" s="27">
        <v>98.911850000000001</v>
      </c>
    </row>
    <row r="169" spans="2:76" x14ac:dyDescent="0.25">
      <c r="Z169" s="16" t="s">
        <v>375</v>
      </c>
      <c r="BQ169" s="27">
        <v>99.907472999999996</v>
      </c>
      <c r="BR169" s="27">
        <v>99.907655800000001</v>
      </c>
      <c r="BS169" s="27">
        <v>99.904217500000001</v>
      </c>
      <c r="BT169" s="27">
        <v>99.908113999999998</v>
      </c>
      <c r="BU169" s="27">
        <v>99.908501999999999</v>
      </c>
    </row>
    <row r="170" spans="2:76" x14ac:dyDescent="0.25">
      <c r="W170" s="60"/>
      <c r="X170" s="60"/>
      <c r="Z170" s="16" t="s">
        <v>376</v>
      </c>
      <c r="BR170" s="27">
        <v>100.907325</v>
      </c>
      <c r="BS170" s="27">
        <v>100.9055808</v>
      </c>
      <c r="BT170" s="27">
        <v>100.90616199999999</v>
      </c>
      <c r="BU170" s="27">
        <v>100.90828999999999</v>
      </c>
    </row>
    <row r="171" spans="2:76" x14ac:dyDescent="0.25">
      <c r="Z171" s="16" t="s">
        <v>377</v>
      </c>
      <c r="BR171" s="27">
        <v>101.90918000000001</v>
      </c>
      <c r="BS171" s="27">
        <v>101.9043475</v>
      </c>
      <c r="BT171" s="27">
        <v>101.906842</v>
      </c>
      <c r="BU171" s="27">
        <v>101.905609</v>
      </c>
      <c r="BV171" s="27">
        <v>101.91162</v>
      </c>
    </row>
    <row r="172" spans="2:76" x14ac:dyDescent="0.25">
      <c r="W172" s="43"/>
      <c r="X172" s="43"/>
      <c r="Z172" s="16" t="s">
        <v>378</v>
      </c>
      <c r="BS172" s="27">
        <v>102.9063218</v>
      </c>
      <c r="BT172" s="27">
        <v>102.905503</v>
      </c>
      <c r="BU172" s="27">
        <v>102.90608899999999</v>
      </c>
      <c r="BV172" s="27">
        <v>102.90897</v>
      </c>
    </row>
    <row r="173" spans="2:76" x14ac:dyDescent="0.25">
      <c r="W173" s="43"/>
      <c r="X173" s="43"/>
      <c r="Z173" s="16" t="s">
        <v>379</v>
      </c>
      <c r="BS173" s="27">
        <v>103.905422</v>
      </c>
      <c r="BT173" s="27">
        <v>103.90665300000001</v>
      </c>
      <c r="BU173" s="27">
        <v>103.904026</v>
      </c>
      <c r="BV173" s="27">
        <v>103.90858799999999</v>
      </c>
      <c r="BW173" s="27">
        <v>103.90998</v>
      </c>
    </row>
    <row r="174" spans="2:76" x14ac:dyDescent="0.25">
      <c r="C174" s="43"/>
      <c r="D174" s="54"/>
      <c r="E174" s="43"/>
      <c r="W174" s="43"/>
      <c r="X174" s="43"/>
      <c r="Z174" s="16" t="s">
        <v>380</v>
      </c>
      <c r="BT174" s="27">
        <v>104.90568399999999</v>
      </c>
      <c r="BU174" s="27">
        <v>104.905075</v>
      </c>
      <c r="BV174" s="27">
        <v>104.906522</v>
      </c>
      <c r="BW174" s="27">
        <v>104.909462</v>
      </c>
    </row>
    <row r="175" spans="2:76" x14ac:dyDescent="0.25">
      <c r="W175" s="43"/>
      <c r="X175" s="43"/>
      <c r="Z175" s="16" t="s">
        <v>381</v>
      </c>
      <c r="BT175" s="27">
        <v>105.907276</v>
      </c>
      <c r="BU175" s="27">
        <v>105.903475</v>
      </c>
      <c r="BV175" s="27">
        <v>105.906678</v>
      </c>
      <c r="BW175" s="27">
        <v>105.90646099999999</v>
      </c>
      <c r="BX175" s="27">
        <v>105.913488</v>
      </c>
    </row>
    <row r="176" spans="2:76" x14ac:dyDescent="0.25">
      <c r="C176" s="43"/>
      <c r="D176" s="42"/>
      <c r="W176" s="43"/>
      <c r="X176" s="43"/>
      <c r="Z176" s="16" t="s">
        <v>382</v>
      </c>
      <c r="BT176" s="27">
        <v>106.90675</v>
      </c>
      <c r="BU176" s="27">
        <v>106.90513</v>
      </c>
      <c r="BV176" s="27">
        <v>106.905095</v>
      </c>
      <c r="BW176" s="27">
        <v>106.90616</v>
      </c>
      <c r="BX176" s="27">
        <v>106.91036</v>
      </c>
    </row>
    <row r="177" spans="2:81" x14ac:dyDescent="0.25">
      <c r="C177" s="43"/>
      <c r="D177" s="42"/>
      <c r="E177" s="50"/>
      <c r="F177" s="49"/>
      <c r="I177" s="42"/>
      <c r="J177" s="50"/>
      <c r="K177" s="50"/>
      <c r="W177" s="43"/>
      <c r="X177" s="43"/>
      <c r="Z177" s="16" t="s">
        <v>383</v>
      </c>
      <c r="BU177" s="27">
        <v>107.90389399999999</v>
      </c>
      <c r="BV177" s="27">
        <v>107.905956</v>
      </c>
      <c r="BW177" s="27">
        <v>107.904186</v>
      </c>
      <c r="BX177" s="27">
        <v>107.90971</v>
      </c>
      <c r="BY177" s="27">
        <v>107.91208</v>
      </c>
    </row>
    <row r="178" spans="2:81" x14ac:dyDescent="0.25">
      <c r="C178" s="60"/>
      <c r="D178" s="42"/>
      <c r="E178" s="50"/>
      <c r="F178" s="49"/>
      <c r="I178" s="42"/>
      <c r="J178" s="50"/>
      <c r="K178" s="50"/>
      <c r="W178" s="43"/>
      <c r="X178" s="43"/>
      <c r="Z178" s="16" t="s">
        <v>384</v>
      </c>
      <c r="BU178" s="27">
        <v>108.905952</v>
      </c>
      <c r="BV178" s="27">
        <v>108.904754</v>
      </c>
      <c r="BW178" s="27">
        <v>108.904949</v>
      </c>
      <c r="BX178" s="27">
        <v>108.907113</v>
      </c>
      <c r="BY178" s="27">
        <v>108.9113</v>
      </c>
    </row>
    <row r="179" spans="2:81" x14ac:dyDescent="0.25">
      <c r="B179" s="50"/>
      <c r="C179" s="60"/>
      <c r="D179" s="42"/>
      <c r="E179" s="50"/>
      <c r="F179" s="49"/>
      <c r="I179" s="42"/>
      <c r="J179" s="50"/>
      <c r="K179" s="50"/>
      <c r="R179" s="60"/>
      <c r="S179" s="60"/>
      <c r="T179" s="60"/>
      <c r="U179" s="60"/>
      <c r="V179" s="60"/>
      <c r="W179" s="43"/>
      <c r="X179" s="43"/>
      <c r="Z179" s="16" t="s">
        <v>385</v>
      </c>
      <c r="BU179" s="27">
        <v>109.905169</v>
      </c>
      <c r="BV179" s="27">
        <v>109.906113</v>
      </c>
      <c r="BW179" s="27">
        <v>109.903007</v>
      </c>
      <c r="BX179" s="27">
        <v>109.90723699999999</v>
      </c>
      <c r="BY179" s="27">
        <v>109.907854</v>
      </c>
    </row>
    <row r="180" spans="2:81" x14ac:dyDescent="0.25">
      <c r="B180" s="50"/>
      <c r="C180" s="60"/>
      <c r="D180" s="42"/>
      <c r="E180" s="50"/>
      <c r="F180" s="49"/>
      <c r="I180" s="42"/>
      <c r="J180" s="50"/>
      <c r="K180" s="50"/>
      <c r="W180" s="43"/>
      <c r="X180" s="43"/>
      <c r="Z180" s="16" t="s">
        <v>386</v>
      </c>
      <c r="BV180" s="27">
        <v>110.905286</v>
      </c>
      <c r="BW180" s="27">
        <v>110.90418200000001</v>
      </c>
      <c r="BX180" s="27">
        <v>110.90509400000001</v>
      </c>
      <c r="BY180" s="27">
        <v>110.90774</v>
      </c>
    </row>
    <row r="181" spans="2:81" x14ac:dyDescent="0.25">
      <c r="B181" s="50"/>
      <c r="C181" s="60"/>
      <c r="D181" s="42"/>
      <c r="E181" s="50"/>
      <c r="F181" s="49"/>
      <c r="I181" s="42"/>
      <c r="J181" s="50"/>
      <c r="K181" s="50"/>
      <c r="R181" s="43"/>
      <c r="S181" s="43"/>
      <c r="T181" s="43"/>
      <c r="U181" s="43"/>
      <c r="V181" s="43"/>
      <c r="W181" s="43"/>
      <c r="X181" s="43"/>
      <c r="Z181" s="16" t="s">
        <v>387</v>
      </c>
      <c r="BV181" s="27">
        <v>111.907011</v>
      </c>
      <c r="BW181" s="27">
        <v>111.9027614</v>
      </c>
      <c r="BX181" s="27">
        <v>111.905529</v>
      </c>
      <c r="BY181" s="27">
        <v>111.90482299999999</v>
      </c>
      <c r="BZ181" s="27">
        <v>111.91255</v>
      </c>
      <c r="CA181" s="27">
        <v>111.91674999999999</v>
      </c>
    </row>
    <row r="182" spans="2:81" x14ac:dyDescent="0.25">
      <c r="B182" s="50"/>
      <c r="C182" s="60"/>
      <c r="D182" s="42"/>
      <c r="E182" s="50"/>
      <c r="F182" s="49"/>
      <c r="I182" s="42"/>
      <c r="J182" s="50"/>
      <c r="K182" s="50"/>
      <c r="R182" s="43"/>
      <c r="S182" s="43"/>
      <c r="T182" s="43"/>
      <c r="U182" s="43"/>
      <c r="V182" s="43"/>
      <c r="W182" s="43"/>
      <c r="X182" s="43"/>
      <c r="Z182" s="16" t="s">
        <v>388</v>
      </c>
      <c r="BV182" s="27">
        <v>112.906559</v>
      </c>
      <c r="BW182" s="27">
        <v>112.9044013</v>
      </c>
      <c r="BX182" s="27">
        <v>112.904056</v>
      </c>
      <c r="BY182" s="27">
        <v>112.90517199999999</v>
      </c>
      <c r="BZ182" s="27">
        <v>112.90934799999999</v>
      </c>
      <c r="CA182" s="27">
        <v>112.91567999999999</v>
      </c>
    </row>
    <row r="183" spans="2:81" x14ac:dyDescent="0.25">
      <c r="B183" s="50"/>
      <c r="C183" s="60"/>
      <c r="D183" s="42"/>
      <c r="E183" s="50"/>
      <c r="F183" s="49"/>
      <c r="I183" s="42"/>
      <c r="J183" s="50"/>
      <c r="K183" s="50"/>
      <c r="R183" s="43"/>
      <c r="S183" s="43"/>
      <c r="T183" s="43"/>
      <c r="U183" s="43"/>
      <c r="V183" s="43"/>
      <c r="W183" s="43"/>
      <c r="X183" s="43"/>
      <c r="Z183" s="16" t="s">
        <v>389</v>
      </c>
      <c r="BW183" s="27">
        <v>113.90336069999999</v>
      </c>
      <c r="BX183" s="27">
        <v>113.904911</v>
      </c>
      <c r="BY183" s="27">
        <v>113.902781</v>
      </c>
      <c r="BZ183" s="27">
        <v>113.90889</v>
      </c>
      <c r="CA183" s="27">
        <v>113.91177</v>
      </c>
    </row>
    <row r="184" spans="2:81" x14ac:dyDescent="0.25">
      <c r="B184" s="50"/>
      <c r="C184" s="60"/>
      <c r="D184" s="42"/>
      <c r="E184" s="50"/>
      <c r="F184" s="49"/>
      <c r="I184" s="42"/>
      <c r="J184" s="50"/>
      <c r="K184" s="50"/>
      <c r="R184" s="43"/>
      <c r="S184" s="43"/>
      <c r="T184" s="43"/>
      <c r="U184" s="43"/>
      <c r="V184" s="43"/>
      <c r="W184" s="43"/>
      <c r="X184" s="43"/>
      <c r="Z184" s="16" t="s">
        <v>390</v>
      </c>
      <c r="BW184" s="27">
        <v>114.905429</v>
      </c>
      <c r="BX184" s="27">
        <v>114.903875</v>
      </c>
      <c r="BY184" s="27">
        <v>114.9033441</v>
      </c>
      <c r="BZ184" s="27">
        <v>114.906597</v>
      </c>
      <c r="CA184" s="27">
        <v>114.91152</v>
      </c>
    </row>
    <row r="185" spans="2:81" x14ac:dyDescent="0.25">
      <c r="B185" s="50"/>
      <c r="C185" s="60"/>
      <c r="D185" s="42"/>
      <c r="E185" s="50"/>
      <c r="F185" s="49"/>
      <c r="I185" s="42"/>
      <c r="J185" s="50"/>
      <c r="K185" s="50"/>
      <c r="R185" s="43"/>
      <c r="S185" s="43"/>
      <c r="T185" s="43"/>
      <c r="U185" s="43"/>
      <c r="V185" s="43"/>
      <c r="W185" s="43"/>
      <c r="X185" s="43"/>
      <c r="Z185" s="16" t="s">
        <v>391</v>
      </c>
      <c r="BW185" s="27">
        <v>115.904758</v>
      </c>
      <c r="BX185" s="27">
        <v>115.90525700000001</v>
      </c>
      <c r="BY185" s="27">
        <v>115.90174349999999</v>
      </c>
      <c r="BZ185" s="27">
        <v>115.90667999999999</v>
      </c>
      <c r="CA185" s="27">
        <v>115.90836</v>
      </c>
    </row>
    <row r="186" spans="2:81" x14ac:dyDescent="0.25">
      <c r="B186" s="50"/>
      <c r="C186" s="60"/>
      <c r="D186" s="42"/>
      <c r="E186" s="50"/>
      <c r="F186" s="49"/>
      <c r="I186" s="42"/>
      <c r="J186" s="50"/>
      <c r="K186" s="50"/>
      <c r="R186" s="43"/>
      <c r="S186" s="43"/>
      <c r="T186" s="43"/>
      <c r="U186" s="43"/>
      <c r="V186" s="43"/>
      <c r="W186" s="43"/>
      <c r="X186" s="43"/>
      <c r="Z186" s="16" t="s">
        <v>392</v>
      </c>
      <c r="BX186" s="27">
        <v>116.904515</v>
      </c>
      <c r="BY186" s="27">
        <v>116.9029536</v>
      </c>
      <c r="BZ186" s="27">
        <v>116.904827</v>
      </c>
      <c r="CA186" s="27">
        <v>116.908573</v>
      </c>
    </row>
    <row r="187" spans="2:81" x14ac:dyDescent="0.25">
      <c r="B187" s="50"/>
      <c r="C187" s="60"/>
      <c r="D187" s="42"/>
      <c r="E187" s="50"/>
      <c r="F187" s="49"/>
      <c r="I187" s="42"/>
      <c r="J187" s="50"/>
      <c r="K187" s="50"/>
      <c r="R187" s="43"/>
      <c r="S187" s="43"/>
      <c r="T187" s="43"/>
      <c r="U187" s="43"/>
      <c r="V187" s="43"/>
      <c r="W187" s="43"/>
      <c r="X187" s="43"/>
      <c r="Z187" s="16" t="s">
        <v>393</v>
      </c>
      <c r="BX187" s="27">
        <v>117.90612</v>
      </c>
      <c r="BY187" s="27">
        <v>117.90160659999999</v>
      </c>
      <c r="BZ187" s="27">
        <v>117.905564</v>
      </c>
      <c r="CA187" s="27">
        <v>117.90588200000001</v>
      </c>
    </row>
    <row r="188" spans="2:81" x14ac:dyDescent="0.25">
      <c r="B188" s="50"/>
      <c r="C188" s="60"/>
      <c r="D188" s="42"/>
      <c r="E188" s="50"/>
      <c r="F188" s="49"/>
      <c r="I188" s="42"/>
      <c r="J188" s="50"/>
      <c r="K188" s="50"/>
      <c r="R188" s="43"/>
      <c r="S188" s="43"/>
      <c r="T188" s="43"/>
      <c r="U188" s="43"/>
      <c r="V188" s="43"/>
      <c r="W188" s="43"/>
      <c r="X188" s="43"/>
      <c r="Z188" s="16" t="s">
        <v>394</v>
      </c>
      <c r="BX188" s="27">
        <v>118.90581899999999</v>
      </c>
      <c r="BY188" s="27">
        <v>118.90331020000001</v>
      </c>
      <c r="BZ188" s="27">
        <v>118.903937</v>
      </c>
      <c r="CA188" s="27">
        <v>118.9064</v>
      </c>
    </row>
    <row r="189" spans="2:81" x14ac:dyDescent="0.25">
      <c r="B189" s="50"/>
      <c r="C189" s="60"/>
      <c r="D189" s="42"/>
      <c r="E189" s="50"/>
      <c r="F189" s="49"/>
      <c r="I189" s="42"/>
      <c r="J189" s="50"/>
      <c r="K189" s="50"/>
      <c r="R189" s="43"/>
      <c r="S189" s="43"/>
      <c r="T189" s="43"/>
      <c r="U189" s="43"/>
      <c r="V189" s="43"/>
      <c r="W189" s="43"/>
      <c r="X189" s="43"/>
      <c r="Z189" s="16" t="s">
        <v>395</v>
      </c>
      <c r="BX189" s="27">
        <v>119.908</v>
      </c>
      <c r="BY189" s="27">
        <v>119.902199</v>
      </c>
      <c r="BZ189" s="27">
        <v>119.90507700000001</v>
      </c>
      <c r="CA189" s="27">
        <v>119.904021</v>
      </c>
      <c r="CB189" s="27">
        <v>119.90982</v>
      </c>
    </row>
    <row r="190" spans="2:81" x14ac:dyDescent="0.25">
      <c r="B190" s="50"/>
      <c r="C190" s="60"/>
      <c r="D190" s="42"/>
      <c r="E190" s="50"/>
      <c r="F190" s="49"/>
      <c r="I190" s="42"/>
      <c r="J190" s="50"/>
      <c r="K190" s="50"/>
      <c r="R190" s="43"/>
      <c r="S190" s="43"/>
      <c r="T190" s="43"/>
      <c r="U190" s="43"/>
      <c r="V190" s="43"/>
      <c r="W190" s="43"/>
      <c r="X190" s="43"/>
      <c r="Z190" s="16" t="s">
        <v>396</v>
      </c>
      <c r="BX190" s="27">
        <v>120.90784499999999</v>
      </c>
      <c r="BY190" s="27">
        <v>120.90423869999999</v>
      </c>
      <c r="BZ190" s="27">
        <v>120.9038237</v>
      </c>
      <c r="CA190" s="27">
        <v>120.904983</v>
      </c>
      <c r="CB190" s="27">
        <v>120.90752999999999</v>
      </c>
    </row>
    <row r="191" spans="2:81" x14ac:dyDescent="0.25">
      <c r="B191" s="50"/>
      <c r="C191" s="60"/>
      <c r="D191" s="42"/>
      <c r="E191" s="50"/>
      <c r="F191" s="49"/>
      <c r="I191" s="42"/>
      <c r="J191" s="50"/>
      <c r="K191" s="50"/>
      <c r="R191" s="43"/>
      <c r="S191" s="43"/>
      <c r="T191" s="43"/>
      <c r="U191" s="43"/>
      <c r="V191" s="43"/>
      <c r="W191" s="43"/>
      <c r="X191" s="43"/>
      <c r="Z191" s="16" t="s">
        <v>397</v>
      </c>
      <c r="BY191" s="27">
        <v>121.90344</v>
      </c>
      <c r="BZ191" s="27">
        <v>121.90518179999999</v>
      </c>
      <c r="CA191" s="27">
        <v>121.90305499999999</v>
      </c>
      <c r="CB191" s="27">
        <v>121.9075</v>
      </c>
      <c r="CC191" s="27">
        <v>121.90857</v>
      </c>
    </row>
    <row r="192" spans="2:81" x14ac:dyDescent="0.25">
      <c r="B192" s="50"/>
      <c r="C192" s="60"/>
      <c r="D192" s="42"/>
      <c r="E192" s="50"/>
      <c r="F192" s="49"/>
      <c r="I192" s="42"/>
      <c r="J192" s="50"/>
      <c r="K192" s="50"/>
      <c r="R192" s="43"/>
      <c r="S192" s="43"/>
      <c r="T192" s="43"/>
      <c r="U192" s="43"/>
      <c r="V192" s="43"/>
      <c r="W192" s="43"/>
      <c r="X192" s="43"/>
      <c r="Z192" s="16" t="s">
        <v>398</v>
      </c>
      <c r="BY192" s="27">
        <v>122.905721</v>
      </c>
      <c r="BZ192" s="27">
        <v>122.904222</v>
      </c>
      <c r="CA192" s="27">
        <v>122.90427800000001</v>
      </c>
      <c r="CB192" s="27">
        <v>122.90557</v>
      </c>
      <c r="CC192" s="27">
        <v>122.90844</v>
      </c>
    </row>
    <row r="193" spans="1:87" x14ac:dyDescent="0.25">
      <c r="B193" s="50"/>
      <c r="C193" s="60"/>
      <c r="D193" s="42"/>
      <c r="E193" s="50"/>
      <c r="F193" s="49"/>
      <c r="I193" s="42"/>
      <c r="J193" s="50"/>
      <c r="K193" s="50"/>
      <c r="R193" s="43"/>
      <c r="S193" s="43"/>
      <c r="T193" s="43"/>
      <c r="U193" s="43"/>
      <c r="V193" s="43"/>
      <c r="W193" s="43"/>
      <c r="X193" s="43"/>
      <c r="Z193" s="16" t="s">
        <v>399</v>
      </c>
      <c r="BY193" s="27">
        <v>123.905271</v>
      </c>
      <c r="BZ193" s="27">
        <v>123.90594400000001</v>
      </c>
      <c r="CA193" s="27">
        <v>123.90282500000001</v>
      </c>
      <c r="CB193" s="27">
        <v>123.906215</v>
      </c>
      <c r="CC193" s="27">
        <v>123.90612</v>
      </c>
      <c r="CD193" s="27">
        <v>123.91248</v>
      </c>
    </row>
    <row r="194" spans="1:87" x14ac:dyDescent="0.25">
      <c r="B194" s="50"/>
      <c r="C194" s="60"/>
      <c r="D194" s="42"/>
      <c r="E194" s="50"/>
      <c r="F194" s="49"/>
      <c r="I194" s="43"/>
      <c r="J194" s="43"/>
      <c r="K194" s="43"/>
      <c r="R194" s="43"/>
      <c r="S194" s="43"/>
      <c r="T194" s="43"/>
      <c r="U194" s="43"/>
      <c r="V194" s="43"/>
      <c r="W194" s="43"/>
      <c r="X194" s="43"/>
      <c r="Z194" s="16" t="s">
        <v>400</v>
      </c>
      <c r="BZ194" s="27">
        <v>124.905259</v>
      </c>
      <c r="CA194" s="27">
        <v>124.90443500000001</v>
      </c>
      <c r="CB194" s="27">
        <v>124.90462599999999</v>
      </c>
      <c r="CC194" s="27">
        <v>124.90649000000001</v>
      </c>
      <c r="CD194" s="27">
        <v>124.90978</v>
      </c>
    </row>
    <row r="195" spans="1:87" x14ac:dyDescent="0.25">
      <c r="B195" s="50"/>
      <c r="C195" s="60"/>
      <c r="D195" s="42"/>
      <c r="E195" s="50"/>
      <c r="F195" s="49"/>
      <c r="I195" s="43"/>
      <c r="J195" s="43"/>
      <c r="K195" s="43"/>
      <c r="R195" s="43"/>
      <c r="S195" s="43"/>
      <c r="T195" s="43"/>
      <c r="U195" s="43"/>
      <c r="V195" s="43"/>
      <c r="W195" s="43"/>
      <c r="X195" s="43"/>
      <c r="Z195" s="16" t="s">
        <v>401</v>
      </c>
      <c r="BZ195" s="27">
        <v>125.907245</v>
      </c>
      <c r="CA195" s="27">
        <v>125.90331</v>
      </c>
      <c r="CB195" s="27">
        <v>125.905624</v>
      </c>
      <c r="CC195" s="27">
        <v>125.905624</v>
      </c>
      <c r="CD195" s="27">
        <v>125.90947</v>
      </c>
      <c r="CE195" s="27">
        <v>125.91137000000001</v>
      </c>
    </row>
    <row r="196" spans="1:87" x14ac:dyDescent="0.25">
      <c r="B196" s="50"/>
      <c r="C196" s="60"/>
      <c r="D196" s="42"/>
      <c r="E196" s="50"/>
      <c r="F196" s="49"/>
      <c r="I196" s="43"/>
      <c r="J196" s="43"/>
      <c r="K196" s="43"/>
      <c r="R196" s="43"/>
      <c r="S196" s="43"/>
      <c r="T196" s="43"/>
      <c r="U196" s="43"/>
      <c r="V196" s="43"/>
      <c r="W196" s="43"/>
      <c r="X196" s="43"/>
      <c r="Z196" s="16" t="s">
        <v>402</v>
      </c>
      <c r="BZ196" s="27">
        <v>126.90692</v>
      </c>
      <c r="CA196" s="27">
        <v>126.90522199999999</v>
      </c>
      <c r="CB196" s="27">
        <v>126.904477</v>
      </c>
      <c r="CC196" s="27">
        <v>126.90519</v>
      </c>
      <c r="CD196" s="27">
        <v>126.907455</v>
      </c>
      <c r="CE196" s="27">
        <v>126.91116</v>
      </c>
    </row>
    <row r="197" spans="1:87" x14ac:dyDescent="0.25">
      <c r="B197" s="50"/>
      <c r="C197" s="60"/>
      <c r="D197" s="42"/>
      <c r="E197" s="50"/>
      <c r="F197" s="49"/>
      <c r="I197" s="43"/>
      <c r="J197" s="43"/>
      <c r="K197" s="43"/>
      <c r="R197" s="43"/>
      <c r="S197" s="43"/>
      <c r="T197" s="43"/>
      <c r="U197" s="43"/>
      <c r="V197" s="43"/>
      <c r="W197" s="43"/>
      <c r="X197" s="43"/>
      <c r="Z197" s="16" t="s">
        <v>403</v>
      </c>
      <c r="CA197" s="27">
        <v>127.904464</v>
      </c>
      <c r="CB197" s="27">
        <v>127.905815</v>
      </c>
      <c r="CC197" s="27">
        <v>127.9035308</v>
      </c>
      <c r="CD197" s="27">
        <v>127.907746</v>
      </c>
      <c r="CE197" s="27">
        <v>127.908232</v>
      </c>
    </row>
    <row r="198" spans="1:87" x14ac:dyDescent="0.25">
      <c r="B198" s="50"/>
      <c r="C198" s="60"/>
      <c r="D198" s="42"/>
      <c r="E198" s="50"/>
      <c r="F198" s="49"/>
      <c r="I198" s="43"/>
      <c r="J198" s="43"/>
      <c r="K198" s="43"/>
      <c r="R198" s="43"/>
      <c r="S198" s="43"/>
      <c r="T198" s="43"/>
      <c r="U198" s="43"/>
      <c r="V198" s="43"/>
      <c r="W198" s="43"/>
      <c r="X198" s="43"/>
      <c r="Z198" s="16" t="s">
        <v>404</v>
      </c>
      <c r="CA198" s="27">
        <v>128.90659500000001</v>
      </c>
      <c r="CB198" s="27">
        <v>128.90498600000001</v>
      </c>
      <c r="CC198" s="27">
        <v>128.90478010000001</v>
      </c>
      <c r="CD198" s="27">
        <v>128.90599800000001</v>
      </c>
      <c r="CE198" s="27">
        <v>128.908624</v>
      </c>
    </row>
    <row r="199" spans="1:87" x14ac:dyDescent="0.25">
      <c r="B199" s="50"/>
      <c r="C199" s="60"/>
      <c r="D199" s="42"/>
      <c r="E199" s="50"/>
      <c r="F199" s="49"/>
      <c r="H199" s="43"/>
      <c r="I199" s="43"/>
      <c r="J199" s="43"/>
      <c r="K199" s="43"/>
      <c r="R199" s="43"/>
      <c r="S199" s="43"/>
      <c r="T199" s="43"/>
      <c r="U199" s="43"/>
      <c r="V199" s="43"/>
      <c r="W199" s="43"/>
      <c r="X199" s="43"/>
      <c r="Z199" s="16" t="s">
        <v>405</v>
      </c>
      <c r="CA199" s="27">
        <v>129.906229</v>
      </c>
      <c r="CB199" s="27">
        <v>129.906713</v>
      </c>
      <c r="CC199" s="27">
        <v>129.90350950000001</v>
      </c>
      <c r="CD199" s="27">
        <v>129.90674999999999</v>
      </c>
      <c r="CE199" s="27">
        <v>129.90627699999999</v>
      </c>
      <c r="CF199" s="27">
        <v>129.91239999999999</v>
      </c>
    </row>
    <row r="200" spans="1:87" x14ac:dyDescent="0.25">
      <c r="A200" s="103"/>
      <c r="B200" s="104" t="s">
        <v>6</v>
      </c>
      <c r="C200" s="105" t="s">
        <v>7</v>
      </c>
      <c r="D200" s="107" t="s">
        <v>548</v>
      </c>
      <c r="E200" s="107" t="s">
        <v>547</v>
      </c>
      <c r="F200" s="49"/>
      <c r="H200" s="43"/>
      <c r="I200" s="43"/>
      <c r="J200" s="43"/>
      <c r="K200" s="43"/>
      <c r="R200" s="43"/>
      <c r="S200" s="43"/>
      <c r="T200" s="43"/>
      <c r="U200" s="43"/>
      <c r="V200" s="43"/>
      <c r="W200" s="43"/>
      <c r="X200" s="43"/>
      <c r="Z200" s="16" t="s">
        <v>406</v>
      </c>
      <c r="CB200" s="27">
        <v>130.90611899999999</v>
      </c>
      <c r="CC200" s="27">
        <v>130.90507600000001</v>
      </c>
      <c r="CD200" s="27">
        <v>130.90545700000001</v>
      </c>
      <c r="CE200" s="27">
        <v>130.90689699999999</v>
      </c>
      <c r="CF200" s="27">
        <v>130.91006999999999</v>
      </c>
      <c r="CG200" s="27">
        <v>130.91469000000001</v>
      </c>
    </row>
    <row r="201" spans="1:87" x14ac:dyDescent="0.25">
      <c r="A201" s="8" t="s">
        <v>235</v>
      </c>
      <c r="B201" s="101">
        <v>1</v>
      </c>
      <c r="C201" s="60">
        <v>3</v>
      </c>
      <c r="D201" s="106">
        <v>3.3614072469022016</v>
      </c>
      <c r="E201" s="106">
        <f>B201/(1+C201^0.33)</f>
        <v>0.41034434562970179</v>
      </c>
      <c r="F201" s="49"/>
      <c r="H201" s="43"/>
      <c r="I201" s="43"/>
      <c r="J201" s="43"/>
      <c r="K201" s="43"/>
      <c r="R201" s="43"/>
      <c r="S201" s="43"/>
      <c r="T201" s="43"/>
      <c r="U201" s="43"/>
      <c r="V201" s="43"/>
      <c r="W201" s="43"/>
      <c r="X201" s="43"/>
      <c r="Z201" s="16" t="s">
        <v>407</v>
      </c>
      <c r="CB201" s="27">
        <v>131.90799200000001</v>
      </c>
      <c r="CC201" s="27">
        <v>131.90414799999999</v>
      </c>
      <c r="CD201" s="27">
        <v>131.90641500000001</v>
      </c>
      <c r="CE201" s="27">
        <v>131.90504200000001</v>
      </c>
      <c r="CF201" s="27">
        <v>131.9101</v>
      </c>
      <c r="CG201" s="27">
        <v>131.91159999999999</v>
      </c>
    </row>
    <row r="202" spans="1:87" x14ac:dyDescent="0.25">
      <c r="A202" s="8" t="s">
        <v>236</v>
      </c>
      <c r="B202" s="101">
        <v>2</v>
      </c>
      <c r="C202" s="60">
        <v>5</v>
      </c>
      <c r="D202" s="106">
        <v>3.2316670642293275</v>
      </c>
      <c r="E202" s="106">
        <f t="shared" ref="E202:E265" si="1">B202/(1+C202^0.33)</f>
        <v>0.7405139670917632</v>
      </c>
      <c r="F202" s="49"/>
      <c r="H202" s="43"/>
      <c r="I202" s="43"/>
      <c r="J202" s="43"/>
      <c r="K202" s="43"/>
      <c r="R202" s="43"/>
      <c r="S202" s="43"/>
      <c r="T202" s="43"/>
      <c r="U202" s="43"/>
      <c r="V202" s="43"/>
      <c r="W202" s="43"/>
      <c r="X202" s="43"/>
      <c r="Z202" s="16" t="s">
        <v>408</v>
      </c>
      <c r="CB202" s="27">
        <v>132.907781</v>
      </c>
      <c r="CC202" s="27">
        <v>132.90589199999999</v>
      </c>
      <c r="CD202" s="27">
        <v>132.90543299999999</v>
      </c>
      <c r="CE202" s="27">
        <v>132.905992</v>
      </c>
      <c r="CF202" s="27">
        <v>132.90814</v>
      </c>
      <c r="CG202" s="27">
        <v>132.91179</v>
      </c>
    </row>
    <row r="203" spans="1:87" x14ac:dyDescent="0.25">
      <c r="A203" s="8" t="s">
        <v>236</v>
      </c>
      <c r="B203" s="101">
        <v>2</v>
      </c>
      <c r="C203" s="60">
        <v>6</v>
      </c>
      <c r="D203" s="106">
        <v>6.9362224576175544</v>
      </c>
      <c r="E203" s="106">
        <f t="shared" si="1"/>
        <v>0.71268214695540089</v>
      </c>
      <c r="F203" s="49"/>
      <c r="H203" s="43"/>
      <c r="I203" s="43"/>
      <c r="J203" s="43"/>
      <c r="K203" s="43"/>
      <c r="R203" s="43"/>
      <c r="S203" s="43"/>
      <c r="T203" s="43"/>
      <c r="U203" s="43"/>
      <c r="V203" s="43"/>
      <c r="W203" s="43"/>
      <c r="X203" s="43"/>
      <c r="Z203" s="16" t="s">
        <v>409</v>
      </c>
      <c r="CC203" s="27">
        <v>133.905395</v>
      </c>
      <c r="CD203" s="27">
        <v>133.9067</v>
      </c>
      <c r="CE203" s="27">
        <v>133.90449000000001</v>
      </c>
      <c r="CF203" s="27">
        <v>133.90846199999999</v>
      </c>
      <c r="CG203" s="27">
        <v>133.90899999999999</v>
      </c>
    </row>
    <row r="204" spans="1:87" x14ac:dyDescent="0.25">
      <c r="A204" s="8" t="s">
        <v>236</v>
      </c>
      <c r="B204" s="101">
        <v>2</v>
      </c>
      <c r="C204" s="60">
        <v>7</v>
      </c>
      <c r="D204" s="106">
        <v>14.226224143446098</v>
      </c>
      <c r="E204" s="106">
        <f t="shared" si="1"/>
        <v>0.6895212238252777</v>
      </c>
      <c r="F204" s="49"/>
      <c r="H204" s="43"/>
      <c r="I204" s="43"/>
      <c r="J204" s="43"/>
      <c r="K204" s="43"/>
      <c r="R204" s="43"/>
      <c r="S204" s="43"/>
      <c r="T204" s="43"/>
      <c r="U204" s="43"/>
      <c r="V204" s="43"/>
      <c r="W204" s="43"/>
      <c r="X204" s="43"/>
      <c r="Z204" s="16" t="s">
        <v>410</v>
      </c>
      <c r="CC204" s="27">
        <v>134.90713199999999</v>
      </c>
      <c r="CD204" s="27">
        <v>134.905888</v>
      </c>
      <c r="CE204" s="27">
        <v>134.90566799999999</v>
      </c>
      <c r="CF204" s="27">
        <v>134.90695600000001</v>
      </c>
      <c r="CG204" s="27">
        <v>134.90923000000001</v>
      </c>
    </row>
    <row r="205" spans="1:87" x14ac:dyDescent="0.25">
      <c r="A205" s="8" t="s">
        <v>237</v>
      </c>
      <c r="B205" s="101">
        <v>3</v>
      </c>
      <c r="C205" s="60">
        <v>7</v>
      </c>
      <c r="D205" s="106">
        <v>2.6881130547031411</v>
      </c>
      <c r="E205" s="106">
        <f t="shared" si="1"/>
        <v>1.0342818357379167</v>
      </c>
      <c r="F205" s="49"/>
      <c r="H205" s="43"/>
      <c r="I205" s="43"/>
      <c r="J205" s="43"/>
      <c r="K205" s="43"/>
      <c r="R205" s="43"/>
      <c r="S205" s="43"/>
      <c r="T205" s="43"/>
      <c r="U205" s="43"/>
      <c r="V205" s="43"/>
      <c r="W205" s="43"/>
      <c r="X205" s="43"/>
      <c r="Z205" s="16" t="s">
        <v>411</v>
      </c>
      <c r="CC205" s="27">
        <v>135.907219</v>
      </c>
      <c r="CD205" s="27">
        <v>135.90729200000001</v>
      </c>
      <c r="CE205" s="27">
        <v>135.90455600000001</v>
      </c>
      <c r="CF205" s="27">
        <v>135.90763999999999</v>
      </c>
      <c r="CG205" s="27">
        <v>135.90714</v>
      </c>
      <c r="CH205" s="27">
        <v>135.91261</v>
      </c>
      <c r="CI205" s="27">
        <v>135.91498999999999</v>
      </c>
    </row>
    <row r="206" spans="1:87" x14ac:dyDescent="0.25">
      <c r="A206" s="8" t="s">
        <v>237</v>
      </c>
      <c r="B206" s="101">
        <v>3</v>
      </c>
      <c r="C206" s="60">
        <v>8</v>
      </c>
      <c r="D206" s="106">
        <v>18.802884939665855</v>
      </c>
      <c r="E206" s="106">
        <f t="shared" si="1"/>
        <v>1.0046263072007087</v>
      </c>
      <c r="F206" s="49"/>
      <c r="H206" s="43"/>
      <c r="I206" s="43"/>
      <c r="J206" s="43"/>
      <c r="K206" s="43"/>
      <c r="R206" s="43"/>
      <c r="S206" s="43"/>
      <c r="T206" s="43"/>
      <c r="U206" s="43"/>
      <c r="V206" s="43"/>
      <c r="W206" s="43"/>
      <c r="X206" s="43"/>
      <c r="Z206" s="16" t="s">
        <v>412</v>
      </c>
      <c r="CD206" s="27">
        <v>136.90707499999999</v>
      </c>
      <c r="CE206" s="27">
        <v>136.90581599999999</v>
      </c>
      <c r="CF206" s="27">
        <v>136.90646000000001</v>
      </c>
      <c r="CG206" s="27">
        <v>136.90777</v>
      </c>
      <c r="CH206" s="27">
        <v>136.91067000000001</v>
      </c>
      <c r="CI206" s="27">
        <v>136.91475</v>
      </c>
    </row>
    <row r="207" spans="1:87" x14ac:dyDescent="0.25">
      <c r="A207" s="8" t="s">
        <v>238</v>
      </c>
      <c r="B207" s="101">
        <v>4</v>
      </c>
      <c r="C207" s="60">
        <v>9</v>
      </c>
      <c r="D207" s="106">
        <v>2.5177929356335467</v>
      </c>
      <c r="E207" s="106">
        <f t="shared" si="1"/>
        <v>1.3050976445976266</v>
      </c>
      <c r="F207" s="49"/>
      <c r="H207" s="43"/>
      <c r="I207" s="43"/>
      <c r="J207" s="43"/>
      <c r="K207" s="43"/>
      <c r="R207" s="43"/>
      <c r="S207" s="43"/>
      <c r="T207" s="43"/>
      <c r="U207" s="43"/>
      <c r="V207" s="43"/>
      <c r="W207" s="43"/>
      <c r="X207" s="43"/>
      <c r="Z207" s="16" t="s">
        <v>413</v>
      </c>
      <c r="CD207" s="27">
        <v>137.91113999999999</v>
      </c>
      <c r="CE207" s="27">
        <v>137.905236</v>
      </c>
      <c r="CF207" s="27">
        <v>137.90711400000001</v>
      </c>
      <c r="CG207" s="27">
        <v>137.90599599999999</v>
      </c>
      <c r="CH207" s="27">
        <v>137.91075900000001</v>
      </c>
      <c r="CI207" s="27">
        <v>137.91193999999999</v>
      </c>
    </row>
    <row r="208" spans="1:87" x14ac:dyDescent="0.25">
      <c r="A208" s="8" t="s">
        <v>238</v>
      </c>
      <c r="B208" s="101">
        <v>4</v>
      </c>
      <c r="C208" s="60">
        <v>10</v>
      </c>
      <c r="D208" s="106">
        <v>4.1570357217637746</v>
      </c>
      <c r="E208" s="106">
        <f t="shared" si="1"/>
        <v>1.2747126593344251</v>
      </c>
      <c r="F208" s="49"/>
      <c r="H208" s="43"/>
      <c r="I208" s="43"/>
      <c r="J208" s="43"/>
      <c r="K208" s="43"/>
      <c r="R208" s="43"/>
      <c r="S208" s="43"/>
      <c r="T208" s="43"/>
      <c r="U208" s="43"/>
      <c r="V208" s="43"/>
      <c r="W208" s="43"/>
      <c r="X208" s="43"/>
      <c r="Z208" s="16" t="s">
        <v>414</v>
      </c>
      <c r="CF208" s="27">
        <v>138.90635499999999</v>
      </c>
      <c r="CG208" s="27">
        <v>138.90663900000001</v>
      </c>
      <c r="CH208" s="27">
        <v>138.908907</v>
      </c>
      <c r="CI208" s="27">
        <v>138.91191000000001</v>
      </c>
    </row>
    <row r="209" spans="1:93" x14ac:dyDescent="0.25">
      <c r="A209" s="8" t="s">
        <v>238</v>
      </c>
      <c r="B209" s="101">
        <v>4</v>
      </c>
      <c r="C209" s="60">
        <v>11</v>
      </c>
      <c r="D209" s="106">
        <v>14.758384024992596</v>
      </c>
      <c r="E209" s="106">
        <f t="shared" si="1"/>
        <v>1.2475537395360887</v>
      </c>
      <c r="H209" s="43"/>
      <c r="I209" s="43"/>
      <c r="J209" s="43"/>
      <c r="K209" s="43"/>
      <c r="R209" s="43"/>
      <c r="S209" s="43"/>
      <c r="T209" s="43"/>
      <c r="U209" s="43"/>
      <c r="V209" s="43"/>
      <c r="W209" s="43"/>
      <c r="X209" s="43"/>
      <c r="Z209" s="16" t="s">
        <v>415</v>
      </c>
      <c r="CF209" s="27">
        <v>139.909479</v>
      </c>
      <c r="CG209" s="27">
        <v>139.90544199999999</v>
      </c>
      <c r="CH209" s="27">
        <v>139.90907899999999</v>
      </c>
      <c r="CI209" s="27">
        <v>139.90958000000001</v>
      </c>
    </row>
    <row r="210" spans="1:93" x14ac:dyDescent="0.25">
      <c r="A210" s="8" t="s">
        <v>238</v>
      </c>
      <c r="B210" s="101">
        <v>4</v>
      </c>
      <c r="C210" s="60">
        <v>12</v>
      </c>
      <c r="D210" s="106">
        <v>14.940939187215312</v>
      </c>
      <c r="E210" s="106">
        <f t="shared" si="1"/>
        <v>1.2230383418496791</v>
      </c>
      <c r="H210" s="43"/>
      <c r="I210" s="43"/>
      <c r="J210" s="43"/>
      <c r="K210" s="43"/>
      <c r="R210" s="43"/>
      <c r="S210" s="43"/>
      <c r="T210" s="43"/>
      <c r="U210" s="43"/>
      <c r="V210" s="43"/>
      <c r="W210" s="43"/>
      <c r="X210" s="43"/>
      <c r="Z210" s="16" t="s">
        <v>416</v>
      </c>
      <c r="CG210" s="27">
        <v>140.90827899999999</v>
      </c>
      <c r="CH210" s="27">
        <v>140.907657</v>
      </c>
      <c r="CI210" s="27">
        <v>140.909605</v>
      </c>
      <c r="CJ210" s="27">
        <v>140.91361000000001</v>
      </c>
    </row>
    <row r="211" spans="1:93" x14ac:dyDescent="0.25">
      <c r="A211" s="8" t="s">
        <v>108</v>
      </c>
      <c r="B211" s="101">
        <v>5</v>
      </c>
      <c r="C211" s="60">
        <v>11</v>
      </c>
      <c r="D211" s="106">
        <v>1.6039116908043312</v>
      </c>
      <c r="E211" s="106">
        <f t="shared" si="1"/>
        <v>1.5594421744201108</v>
      </c>
      <c r="H211" s="43"/>
      <c r="I211" s="43"/>
      <c r="J211" s="43"/>
      <c r="K211" s="43"/>
      <c r="R211" s="43"/>
      <c r="S211" s="43"/>
      <c r="T211" s="43"/>
      <c r="U211" s="43"/>
      <c r="V211" s="43"/>
      <c r="W211" s="43"/>
      <c r="X211" s="43"/>
      <c r="Z211" s="16" t="s">
        <v>417</v>
      </c>
      <c r="CG211" s="27">
        <v>141.90924899999999</v>
      </c>
      <c r="CH211" s="27">
        <v>141.91004799999999</v>
      </c>
      <c r="CI211" s="27">
        <v>141.90773100000001</v>
      </c>
      <c r="CJ211" s="27">
        <v>141.91298</v>
      </c>
    </row>
    <row r="212" spans="1:93" x14ac:dyDescent="0.25">
      <c r="A212" s="8" t="s">
        <v>108</v>
      </c>
      <c r="B212" s="101">
        <v>5</v>
      </c>
      <c r="C212" s="60">
        <v>12</v>
      </c>
      <c r="D212" s="106">
        <v>16.577161237278098</v>
      </c>
      <c r="E212" s="106">
        <f t="shared" si="1"/>
        <v>1.5287979273120986</v>
      </c>
      <c r="H212" s="43"/>
      <c r="I212" s="43"/>
      <c r="J212" s="43"/>
      <c r="K212" s="43"/>
      <c r="R212" s="43"/>
      <c r="S212" s="43"/>
      <c r="T212" s="43"/>
      <c r="U212" s="43"/>
      <c r="V212" s="43"/>
      <c r="W212" s="43"/>
      <c r="X212" s="43"/>
      <c r="Z212" s="16" t="s">
        <v>418</v>
      </c>
      <c r="CH212" s="27">
        <v>142.91082700000001</v>
      </c>
      <c r="CI212" s="27">
        <v>142.90982299999999</v>
      </c>
      <c r="CJ212" s="27">
        <v>142.91094100000001</v>
      </c>
      <c r="CK212" s="27">
        <v>142.91464199999999</v>
      </c>
    </row>
    <row r="213" spans="1:93" x14ac:dyDescent="0.25">
      <c r="A213" s="8" t="s">
        <v>110</v>
      </c>
      <c r="B213" s="101">
        <v>6</v>
      </c>
      <c r="C213" s="60">
        <v>13</v>
      </c>
      <c r="D213" s="106">
        <v>1.376848107316849</v>
      </c>
      <c r="E213" s="106">
        <f t="shared" si="1"/>
        <v>1.8010895495864065</v>
      </c>
      <c r="H213" s="43"/>
      <c r="I213" s="43"/>
      <c r="J213" s="43"/>
      <c r="K213" s="43"/>
      <c r="R213" s="43"/>
      <c r="S213" s="43"/>
      <c r="T213" s="43"/>
      <c r="U213" s="43"/>
      <c r="V213" s="43"/>
      <c r="W213" s="43"/>
      <c r="X213" s="43"/>
      <c r="Z213" s="16" t="s">
        <v>419</v>
      </c>
      <c r="CH213" s="27">
        <v>143.91331199999999</v>
      </c>
      <c r="CI213" s="27">
        <v>143.91009600000001</v>
      </c>
      <c r="CJ213" s="27">
        <v>143.91259700000001</v>
      </c>
      <c r="CK213" s="27">
        <v>143.91200900000001</v>
      </c>
      <c r="CL213" s="27">
        <v>143.918802</v>
      </c>
    </row>
    <row r="214" spans="1:93" x14ac:dyDescent="0.25">
      <c r="A214" s="8" t="s">
        <v>110</v>
      </c>
      <c r="B214" s="101">
        <v>6</v>
      </c>
      <c r="C214" s="60">
        <v>14</v>
      </c>
      <c r="D214" s="106">
        <v>3.7930385362687717</v>
      </c>
      <c r="E214" s="106">
        <f t="shared" si="1"/>
        <v>1.7704162209942069</v>
      </c>
      <c r="H214" s="43"/>
      <c r="I214" s="43"/>
      <c r="J214" s="43"/>
      <c r="K214" s="43"/>
      <c r="R214" s="43"/>
      <c r="S214" s="43"/>
      <c r="T214" s="43"/>
      <c r="U214" s="43"/>
      <c r="V214" s="43"/>
      <c r="W214" s="43"/>
      <c r="X214" s="43"/>
      <c r="Z214" s="16" t="s">
        <v>420</v>
      </c>
      <c r="CH214" s="27">
        <v>144.91452000000001</v>
      </c>
      <c r="CI214" s="27">
        <v>144.91258199999999</v>
      </c>
      <c r="CJ214" s="27">
        <v>144.91275400000001</v>
      </c>
      <c r="CK214" s="27">
        <v>144.91341299999999</v>
      </c>
      <c r="CL214" s="27">
        <v>144.91633300000001</v>
      </c>
    </row>
    <row r="215" spans="1:93" x14ac:dyDescent="0.25">
      <c r="A215" s="8" t="s">
        <v>239</v>
      </c>
      <c r="B215" s="101">
        <v>7</v>
      </c>
      <c r="C215" s="60">
        <v>15</v>
      </c>
      <c r="D215" s="106">
        <v>0.83189883420044697</v>
      </c>
      <c r="E215" s="106">
        <f t="shared" si="1"/>
        <v>2.0324907208618623</v>
      </c>
      <c r="H215" s="43"/>
      <c r="I215" s="43"/>
      <c r="J215" s="43"/>
      <c r="K215" s="43"/>
      <c r="R215" s="43"/>
      <c r="S215" s="43"/>
      <c r="T215" s="43"/>
      <c r="U215" s="43"/>
      <c r="V215" s="43"/>
      <c r="W215" s="43"/>
      <c r="X215" s="43"/>
      <c r="Z215" s="16" t="s">
        <v>421</v>
      </c>
      <c r="CH215" s="27">
        <v>145.91750999999999</v>
      </c>
      <c r="CI215" s="27">
        <v>145.91312600000001</v>
      </c>
      <c r="CJ215" s="27">
        <v>145.914717</v>
      </c>
      <c r="CK215" s="27">
        <v>145.913061</v>
      </c>
      <c r="CL215" s="27">
        <v>145.91721899999999</v>
      </c>
      <c r="CM215" s="27">
        <v>145.91851</v>
      </c>
    </row>
    <row r="216" spans="1:93" x14ac:dyDescent="0.25">
      <c r="A216" s="8" t="s">
        <v>239</v>
      </c>
      <c r="B216" s="101">
        <v>7</v>
      </c>
      <c r="C216" s="60">
        <v>16</v>
      </c>
      <c r="D216" s="106">
        <v>13.844101863571113</v>
      </c>
      <c r="E216" s="106">
        <f t="shared" si="1"/>
        <v>2.0019097659758183</v>
      </c>
      <c r="H216" s="43"/>
      <c r="I216" s="43"/>
      <c r="J216" s="43"/>
      <c r="K216" s="43"/>
      <c r="R216" s="43"/>
      <c r="S216" s="43"/>
      <c r="T216" s="43"/>
      <c r="U216" s="43"/>
      <c r="V216" s="43"/>
      <c r="W216" s="43"/>
      <c r="X216" s="43"/>
      <c r="Z216" s="16" t="s">
        <v>422</v>
      </c>
      <c r="CH216" s="27">
        <v>146.91900999999999</v>
      </c>
      <c r="CI216" s="27">
        <v>146.91611</v>
      </c>
      <c r="CJ216" s="27">
        <v>146.91514799999999</v>
      </c>
      <c r="CK216" s="27">
        <v>146.914907</v>
      </c>
      <c r="CL216" s="27">
        <v>146.916764</v>
      </c>
      <c r="CM216" s="27">
        <v>146.919263</v>
      </c>
    </row>
    <row r="217" spans="1:93" x14ac:dyDescent="0.25">
      <c r="A217" s="8" t="s">
        <v>240</v>
      </c>
      <c r="B217" s="101">
        <v>8</v>
      </c>
      <c r="C217" s="60">
        <v>17</v>
      </c>
      <c r="D217" s="106">
        <v>0.84033539620645614</v>
      </c>
      <c r="E217" s="106">
        <f t="shared" si="1"/>
        <v>2.2553555255161686</v>
      </c>
      <c r="H217" s="43"/>
      <c r="I217" s="43"/>
      <c r="J217" s="43"/>
      <c r="K217" s="43"/>
      <c r="R217" s="43"/>
      <c r="S217" s="43"/>
      <c r="T217" s="43"/>
      <c r="U217" s="43"/>
      <c r="V217" s="43"/>
      <c r="W217" s="43"/>
      <c r="X217" s="43"/>
      <c r="Z217" s="16" t="s">
        <v>423</v>
      </c>
      <c r="CI217" s="27">
        <v>147.916901</v>
      </c>
      <c r="CJ217" s="27">
        <v>147.91747699999999</v>
      </c>
      <c r="CK217" s="27">
        <v>147.91483199999999</v>
      </c>
      <c r="CL217" s="27">
        <v>147.918159</v>
      </c>
      <c r="CM217" s="27">
        <v>147.91812400000001</v>
      </c>
    </row>
    <row r="218" spans="1:93" x14ac:dyDescent="0.25">
      <c r="A218" s="8" t="s">
        <v>240</v>
      </c>
      <c r="B218" s="101">
        <v>8</v>
      </c>
      <c r="C218" s="60">
        <v>18</v>
      </c>
      <c r="D218" s="106">
        <v>1.9897496758745064</v>
      </c>
      <c r="E218" s="106">
        <f t="shared" si="1"/>
        <v>2.2249336025621966</v>
      </c>
      <c r="H218" s="43"/>
      <c r="I218" s="43"/>
      <c r="J218" s="43"/>
      <c r="K218" s="43"/>
      <c r="R218" s="43"/>
      <c r="S218" s="43"/>
      <c r="T218" s="43"/>
      <c r="U218" s="43"/>
      <c r="V218" s="43"/>
      <c r="W218" s="43"/>
      <c r="X218" s="43"/>
      <c r="Z218" s="16" t="s">
        <v>424</v>
      </c>
      <c r="CI218" s="27">
        <v>148.92015699999999</v>
      </c>
      <c r="CJ218" s="27">
        <v>148.91834299999999</v>
      </c>
      <c r="CK218" s="27">
        <v>148.917193</v>
      </c>
      <c r="CL218" s="27">
        <v>148.91793999999999</v>
      </c>
      <c r="CM218" s="27">
        <v>148.919344</v>
      </c>
    </row>
    <row r="219" spans="1:93" x14ac:dyDescent="0.25">
      <c r="A219" s="8" t="s">
        <v>240</v>
      </c>
      <c r="B219" s="101">
        <v>8</v>
      </c>
      <c r="C219" s="60">
        <v>19</v>
      </c>
      <c r="D219" s="106">
        <v>8.4176609347273885</v>
      </c>
      <c r="E219" s="106">
        <f t="shared" si="1"/>
        <v>2.1963902726166573</v>
      </c>
      <c r="H219" s="43"/>
      <c r="I219" s="43"/>
      <c r="J219" s="43"/>
      <c r="K219" s="43"/>
      <c r="R219" s="43"/>
      <c r="S219" s="43"/>
      <c r="T219" s="43"/>
      <c r="U219" s="43"/>
      <c r="V219" s="43"/>
      <c r="W219" s="43"/>
      <c r="X219" s="43"/>
      <c r="Z219" s="16" t="s">
        <v>425</v>
      </c>
      <c r="CI219" s="27">
        <v>149.92089999999999</v>
      </c>
      <c r="CJ219" s="27">
        <v>149.92104</v>
      </c>
      <c r="CK219" s="27">
        <v>149.91728499999999</v>
      </c>
      <c r="CL219" s="27">
        <v>149.919747</v>
      </c>
      <c r="CM219" s="27">
        <v>149.91866300000001</v>
      </c>
    </row>
    <row r="220" spans="1:93" x14ac:dyDescent="0.25">
      <c r="A220" s="8" t="s">
        <v>241</v>
      </c>
      <c r="B220" s="101">
        <v>9</v>
      </c>
      <c r="C220" s="60">
        <v>19</v>
      </c>
      <c r="D220" s="106">
        <v>0.33726034979384534</v>
      </c>
      <c r="E220" s="106">
        <f t="shared" si="1"/>
        <v>2.470939056693739</v>
      </c>
      <c r="H220" s="43"/>
      <c r="I220" s="43"/>
      <c r="J220" s="43"/>
      <c r="K220" s="43"/>
      <c r="R220" s="43"/>
      <c r="S220" s="43"/>
      <c r="T220" s="43"/>
      <c r="U220" s="43"/>
      <c r="V220" s="43"/>
      <c r="Z220" s="16" t="s">
        <v>426</v>
      </c>
      <c r="CJ220" s="27">
        <v>150.92121700000001</v>
      </c>
      <c r="CK220" s="27">
        <v>150.91994199999999</v>
      </c>
      <c r="CL220" s="27">
        <v>150.91986</v>
      </c>
      <c r="CM220" s="27">
        <v>150.920378</v>
      </c>
    </row>
    <row r="221" spans="1:93" x14ac:dyDescent="0.25">
      <c r="A221" s="8" t="s">
        <v>241</v>
      </c>
      <c r="B221" s="101">
        <v>9</v>
      </c>
      <c r="C221" s="60">
        <v>20</v>
      </c>
      <c r="D221" s="106">
        <v>10.586979142138865</v>
      </c>
      <c r="E221" s="106">
        <f t="shared" si="1"/>
        <v>2.4407130854147638</v>
      </c>
      <c r="H221" s="43"/>
      <c r="I221" s="43"/>
      <c r="J221" s="43"/>
      <c r="K221" s="43"/>
      <c r="R221" s="43"/>
      <c r="S221" s="43"/>
      <c r="T221" s="43"/>
      <c r="U221" s="43"/>
      <c r="V221" s="43"/>
      <c r="Z221" s="16" t="s">
        <v>427</v>
      </c>
      <c r="CJ221" s="27">
        <v>151.92347000000001</v>
      </c>
      <c r="CK221" s="27">
        <v>151.91974099999999</v>
      </c>
      <c r="CL221" s="27">
        <v>151.92175599999999</v>
      </c>
      <c r="CM221" s="27">
        <v>151.919803</v>
      </c>
      <c r="CN221" s="27">
        <v>151.923936</v>
      </c>
    </row>
    <row r="222" spans="1:93" x14ac:dyDescent="0.25">
      <c r="A222" s="8" t="s">
        <v>242</v>
      </c>
      <c r="B222" s="101">
        <v>10</v>
      </c>
      <c r="C222" s="60">
        <v>22</v>
      </c>
      <c r="D222" s="106">
        <v>0.78224600390021604</v>
      </c>
      <c r="E222" s="106">
        <f t="shared" si="1"/>
        <v>2.6501882808395121</v>
      </c>
      <c r="H222" s="43"/>
      <c r="I222" s="43"/>
      <c r="J222" s="43"/>
      <c r="K222" s="43"/>
      <c r="R222" s="43"/>
      <c r="S222" s="43"/>
      <c r="T222" s="43"/>
      <c r="U222" s="43"/>
      <c r="V222" s="43"/>
      <c r="Z222" s="16" t="s">
        <v>428</v>
      </c>
      <c r="CK222" s="27">
        <v>152.92210700000001</v>
      </c>
      <c r="CL222" s="27">
        <v>152.921243</v>
      </c>
      <c r="CM222" s="27">
        <v>152.921505</v>
      </c>
      <c r="CN222" s="27">
        <v>152.92342600000001</v>
      </c>
    </row>
    <row r="223" spans="1:93" x14ac:dyDescent="0.25">
      <c r="A223" s="8" t="s">
        <v>242</v>
      </c>
      <c r="B223" s="101">
        <v>10</v>
      </c>
      <c r="C223" s="60">
        <v>23</v>
      </c>
      <c r="D223" s="106">
        <v>8.0020293610235953</v>
      </c>
      <c r="E223" s="106">
        <f t="shared" si="1"/>
        <v>2.6217139394684952</v>
      </c>
      <c r="H223" s="43"/>
      <c r="I223" s="43"/>
      <c r="J223" s="43"/>
      <c r="K223" s="43"/>
      <c r="R223" s="43"/>
      <c r="S223" s="43"/>
      <c r="T223" s="43"/>
      <c r="U223" s="43"/>
      <c r="V223" s="43"/>
      <c r="Z223" s="16" t="s">
        <v>429</v>
      </c>
      <c r="CK223" s="27">
        <v>153.92221799999999</v>
      </c>
      <c r="CL223" s="27">
        <v>153.922999</v>
      </c>
      <c r="CM223" s="27">
        <v>153.92087599999999</v>
      </c>
      <c r="CN223" s="27">
        <v>153.92458999999999</v>
      </c>
      <c r="CO223" s="27">
        <v>153.924432</v>
      </c>
    </row>
    <row r="224" spans="1:93" x14ac:dyDescent="0.25">
      <c r="A224" s="8" t="s">
        <v>243</v>
      </c>
      <c r="B224" s="101">
        <v>11</v>
      </c>
      <c r="C224" s="60">
        <v>24</v>
      </c>
      <c r="D224" s="106">
        <v>9.1287059447544774</v>
      </c>
      <c r="E224" s="106">
        <f t="shared" si="1"/>
        <v>2.8541008711886411</v>
      </c>
      <c r="H224" s="43"/>
      <c r="I224" s="43"/>
      <c r="J224" s="43"/>
      <c r="K224" s="43"/>
      <c r="R224" s="43"/>
      <c r="S224" s="43"/>
      <c r="T224" s="43"/>
      <c r="U224" s="43"/>
      <c r="V224" s="43"/>
      <c r="Z224" s="16" t="s">
        <v>430</v>
      </c>
      <c r="CL224" s="27">
        <v>154.92289299999999</v>
      </c>
      <c r="CM224" s="27">
        <v>154.922629</v>
      </c>
      <c r="CN224" s="27">
        <v>154.92350400000001</v>
      </c>
      <c r="CO224" s="27">
        <v>154.925758</v>
      </c>
    </row>
    <row r="225" spans="1:99" x14ac:dyDescent="0.25">
      <c r="A225" s="8" t="s">
        <v>244</v>
      </c>
      <c r="B225" s="101">
        <v>12</v>
      </c>
      <c r="C225" s="60">
        <v>27</v>
      </c>
      <c r="D225" s="106">
        <v>6.2715094093812001</v>
      </c>
      <c r="E225" s="106">
        <f t="shared" si="1"/>
        <v>3.0247866043645208</v>
      </c>
      <c r="H225" s="43"/>
      <c r="I225" s="43"/>
      <c r="J225" s="43"/>
      <c r="K225" s="43"/>
      <c r="R225" s="43"/>
      <c r="S225" s="43"/>
      <c r="T225" s="43"/>
      <c r="U225" s="43"/>
      <c r="V225" s="43"/>
      <c r="Z225" s="16" t="s">
        <v>431</v>
      </c>
      <c r="CL225" s="27">
        <v>155.92476400000001</v>
      </c>
      <c r="CM225" s="27">
        <v>155.92213000000001</v>
      </c>
      <c r="CN225" s="27">
        <v>155.924747</v>
      </c>
      <c r="CO225" s="27">
        <v>155.92428699999999</v>
      </c>
      <c r="CP225" s="27">
        <v>155.92975999999999</v>
      </c>
    </row>
    <row r="226" spans="1:99" x14ac:dyDescent="0.25">
      <c r="A226" s="8" t="s">
        <v>245</v>
      </c>
      <c r="B226" s="101">
        <v>13</v>
      </c>
      <c r="C226" s="60">
        <v>28</v>
      </c>
      <c r="D226" s="106">
        <v>8.2825382837277459</v>
      </c>
      <c r="E226" s="106">
        <f t="shared" si="1"/>
        <v>3.247526078849809</v>
      </c>
      <c r="H226" s="43"/>
      <c r="I226" s="43"/>
      <c r="J226" s="43"/>
      <c r="K226" s="43"/>
      <c r="R226" s="43"/>
      <c r="S226" s="43"/>
      <c r="T226" s="43"/>
      <c r="U226" s="43"/>
      <c r="V226" s="43"/>
      <c r="Z226" s="16" t="s">
        <v>432</v>
      </c>
      <c r="CL226" s="27">
        <v>156.92542700000001</v>
      </c>
      <c r="CM226" s="27">
        <v>156.923967</v>
      </c>
      <c r="CN226" s="27">
        <v>156.92402899999999</v>
      </c>
      <c r="CO226" s="27">
        <v>156.92546999999999</v>
      </c>
      <c r="CP226" s="27">
        <v>156.9282</v>
      </c>
      <c r="CQ226" s="27">
        <v>156.93227999999999</v>
      </c>
    </row>
    <row r="227" spans="1:99" x14ac:dyDescent="0.25">
      <c r="A227" s="8" t="s">
        <v>246</v>
      </c>
      <c r="B227" s="101">
        <v>14</v>
      </c>
      <c r="C227" s="60">
        <v>31</v>
      </c>
      <c r="D227" s="106">
        <v>5.1685234097215158</v>
      </c>
      <c r="E227" s="106">
        <f t="shared" si="1"/>
        <v>3.409953804935379</v>
      </c>
      <c r="H227" s="43"/>
      <c r="I227" s="43"/>
      <c r="J227" s="43"/>
      <c r="K227" s="43"/>
      <c r="R227" s="43"/>
      <c r="S227" s="43"/>
      <c r="T227" s="43"/>
      <c r="U227" s="43"/>
      <c r="V227" s="43"/>
      <c r="Z227" s="16" t="s">
        <v>433</v>
      </c>
      <c r="CM227" s="27">
        <v>157.92411100000001</v>
      </c>
      <c r="CN227" s="27">
        <v>157.92541600000001</v>
      </c>
      <c r="CO227" s="27">
        <v>157.92441199999999</v>
      </c>
      <c r="CP227" s="27">
        <v>157.92868200000001</v>
      </c>
      <c r="CQ227" s="27">
        <v>157.93018000000001</v>
      </c>
    </row>
    <row r="228" spans="1:99" x14ac:dyDescent="0.25">
      <c r="A228" s="8" t="s">
        <v>247</v>
      </c>
      <c r="B228" s="101">
        <v>15</v>
      </c>
      <c r="C228" s="60">
        <v>32</v>
      </c>
      <c r="D228" s="106">
        <v>5.3870996762646639</v>
      </c>
      <c r="E228" s="106">
        <f t="shared" si="1"/>
        <v>3.6246449250704038</v>
      </c>
      <c r="H228" s="43"/>
      <c r="I228" s="43"/>
      <c r="J228" s="43"/>
      <c r="K228" s="43"/>
      <c r="R228" s="43"/>
      <c r="S228" s="43"/>
      <c r="T228" s="43"/>
      <c r="U228" s="43"/>
      <c r="V228" s="43"/>
      <c r="Z228" s="16" t="s">
        <v>434</v>
      </c>
      <c r="CM228" s="27">
        <v>158.92639700000001</v>
      </c>
      <c r="CN228" s="27">
        <v>158.92535000000001</v>
      </c>
      <c r="CO228" s="27">
        <v>158.92574300000001</v>
      </c>
      <c r="CP228" s="27">
        <v>158.92773199999999</v>
      </c>
      <c r="CQ228" s="27">
        <v>158.93088</v>
      </c>
    </row>
    <row r="229" spans="1:99" x14ac:dyDescent="0.25">
      <c r="A229" s="8" t="s">
        <v>247</v>
      </c>
      <c r="B229" s="101">
        <v>15</v>
      </c>
      <c r="C229" s="60">
        <v>33</v>
      </c>
      <c r="D229" s="106">
        <v>3.9321347493535894</v>
      </c>
      <c r="E229" s="106">
        <f t="shared" si="1"/>
        <v>3.5968053625930567</v>
      </c>
      <c r="H229" s="43"/>
      <c r="I229" s="43"/>
      <c r="J229" s="43"/>
      <c r="K229" s="43"/>
      <c r="R229" s="43"/>
      <c r="S229" s="43"/>
      <c r="T229" s="43"/>
      <c r="U229" s="43"/>
      <c r="Z229" s="16" t="s">
        <v>435</v>
      </c>
      <c r="CM229" s="27">
        <v>159.92706100000001</v>
      </c>
      <c r="CN229" s="27">
        <v>159.92717099999999</v>
      </c>
      <c r="CO229" s="27">
        <v>159.92520300000001</v>
      </c>
      <c r="CP229" s="27">
        <v>159.928731</v>
      </c>
      <c r="CQ229" s="27">
        <v>159.929091</v>
      </c>
    </row>
    <row r="230" spans="1:99" x14ac:dyDescent="0.25">
      <c r="A230" s="8" t="s">
        <v>248</v>
      </c>
      <c r="B230" s="101">
        <v>16</v>
      </c>
      <c r="C230" s="60">
        <v>35</v>
      </c>
      <c r="D230" s="106">
        <v>3.8534220423245649</v>
      </c>
      <c r="E230" s="106">
        <f t="shared" si="1"/>
        <v>3.7802456403747655</v>
      </c>
      <c r="H230" s="43"/>
      <c r="I230" s="43"/>
      <c r="J230" s="43"/>
      <c r="K230" s="43"/>
      <c r="R230" s="43"/>
      <c r="S230" s="43"/>
      <c r="T230" s="43"/>
      <c r="U230" s="43"/>
      <c r="Z230" s="16" t="s">
        <v>436</v>
      </c>
      <c r="CN230" s="27">
        <v>160.927573</v>
      </c>
      <c r="CO230" s="27">
        <v>160.926939</v>
      </c>
      <c r="CP230" s="27">
        <v>160.92785499999999</v>
      </c>
      <c r="CQ230" s="27">
        <v>160.93000900000001</v>
      </c>
    </row>
    <row r="231" spans="1:99" x14ac:dyDescent="0.25">
      <c r="A231" s="8" t="s">
        <v>248</v>
      </c>
      <c r="B231" s="101">
        <v>16</v>
      </c>
      <c r="C231" s="60">
        <v>36</v>
      </c>
      <c r="D231" s="106">
        <v>2.54254077182244</v>
      </c>
      <c r="E231" s="106">
        <f t="shared" si="1"/>
        <v>3.7534718283606683</v>
      </c>
      <c r="H231" s="43"/>
      <c r="I231" s="43"/>
      <c r="J231" s="43"/>
      <c r="K231" s="43"/>
      <c r="R231" s="43"/>
      <c r="S231" s="43"/>
      <c r="T231" s="43"/>
      <c r="U231" s="43"/>
      <c r="Z231" s="16" t="s">
        <v>437</v>
      </c>
      <c r="CN231" s="27">
        <v>161.92939999999999</v>
      </c>
      <c r="CO231" s="27">
        <v>161.926805</v>
      </c>
      <c r="CP231" s="27">
        <v>161.92909700000001</v>
      </c>
      <c r="CQ231" s="27">
        <v>161.928787</v>
      </c>
      <c r="CR231" s="27">
        <v>161.93393</v>
      </c>
    </row>
    <row r="232" spans="1:99" x14ac:dyDescent="0.25">
      <c r="A232" s="8" t="s">
        <v>249</v>
      </c>
      <c r="B232" s="101">
        <v>17</v>
      </c>
      <c r="C232" s="60">
        <v>36</v>
      </c>
      <c r="D232" s="106">
        <v>4.3939026489857858</v>
      </c>
      <c r="E232" s="106">
        <f t="shared" si="1"/>
        <v>3.9880638176332099</v>
      </c>
      <c r="H232" s="43"/>
      <c r="I232" s="43"/>
      <c r="J232" s="43"/>
      <c r="K232" s="43"/>
      <c r="R232" s="43"/>
      <c r="S232" s="43"/>
      <c r="T232" s="43"/>
      <c r="U232" s="43"/>
      <c r="Z232" s="16" t="s">
        <v>438</v>
      </c>
      <c r="CO232" s="27">
        <v>162.92873700000001</v>
      </c>
      <c r="CP232" s="27">
        <v>162.92873900000001</v>
      </c>
      <c r="CQ232" s="27">
        <v>162.93003999999999</v>
      </c>
    </row>
    <row r="233" spans="1:99" x14ac:dyDescent="0.25">
      <c r="A233" s="8" t="s">
        <v>249</v>
      </c>
      <c r="B233" s="101">
        <v>17</v>
      </c>
      <c r="C233" s="60">
        <v>37</v>
      </c>
      <c r="D233" s="106">
        <v>2.8730070686436227</v>
      </c>
      <c r="E233" s="106">
        <f t="shared" si="1"/>
        <v>3.9605304424106058</v>
      </c>
      <c r="H233" s="43"/>
      <c r="I233" s="43"/>
      <c r="J233" s="43"/>
      <c r="K233" s="43"/>
      <c r="R233" s="43"/>
      <c r="S233" s="43"/>
      <c r="T233" s="43"/>
      <c r="U233" s="43"/>
      <c r="Z233" s="16" t="s">
        <v>439</v>
      </c>
      <c r="CO233" s="27">
        <v>163.92918299999999</v>
      </c>
      <c r="CP233" s="27">
        <v>163.93028699999999</v>
      </c>
      <c r="CQ233" s="27">
        <v>163.92921100000001</v>
      </c>
      <c r="CR233" s="27">
        <v>163.93346500000001</v>
      </c>
      <c r="CS233" s="27">
        <v>163.93465</v>
      </c>
    </row>
    <row r="234" spans="1:99" x14ac:dyDescent="0.25">
      <c r="A234" s="8" t="s">
        <v>249</v>
      </c>
      <c r="B234" s="101">
        <v>17</v>
      </c>
      <c r="C234" s="60">
        <v>38</v>
      </c>
      <c r="D234" s="106">
        <v>8.5721148980194677</v>
      </c>
      <c r="E234" s="106">
        <f t="shared" si="1"/>
        <v>3.9338587492745045</v>
      </c>
      <c r="H234" s="43"/>
      <c r="I234" s="43"/>
      <c r="J234" s="43"/>
      <c r="K234" s="43"/>
      <c r="R234" s="43"/>
      <c r="S234" s="43"/>
      <c r="T234" s="43"/>
      <c r="U234" s="43"/>
      <c r="Z234" s="16" t="s">
        <v>440</v>
      </c>
      <c r="CP234" s="27">
        <v>164.93033199999999</v>
      </c>
      <c r="CQ234" s="27">
        <v>164.93073699999999</v>
      </c>
      <c r="CR234" s="27">
        <v>164.93244899999999</v>
      </c>
      <c r="CS234" s="27">
        <v>164.93541500000001</v>
      </c>
    </row>
    <row r="235" spans="1:99" x14ac:dyDescent="0.25">
      <c r="A235" s="8" t="s">
        <v>250</v>
      </c>
      <c r="B235" s="101">
        <v>18</v>
      </c>
      <c r="C235" s="60">
        <v>39</v>
      </c>
      <c r="D235" s="106">
        <v>4.2531474475855733</v>
      </c>
      <c r="E235" s="106">
        <f t="shared" si="1"/>
        <v>4.137883242769151</v>
      </c>
      <c r="H235" s="43"/>
      <c r="I235" s="43"/>
      <c r="J235" s="43"/>
      <c r="K235" s="43"/>
      <c r="R235" s="43"/>
      <c r="S235" s="43"/>
      <c r="T235" s="43"/>
      <c r="U235" s="43"/>
      <c r="Z235" s="16" t="s">
        <v>441</v>
      </c>
      <c r="CP235" s="27">
        <v>165.93229600000001</v>
      </c>
      <c r="CQ235" s="27">
        <v>165.930305</v>
      </c>
      <c r="CR235" s="27">
        <v>165.93357599999999</v>
      </c>
      <c r="CS235" s="27">
        <v>165.93388899999999</v>
      </c>
    </row>
    <row r="236" spans="1:99" x14ac:dyDescent="0.25">
      <c r="A236" s="8" t="s">
        <v>250</v>
      </c>
      <c r="B236" s="101">
        <v>18</v>
      </c>
      <c r="C236" s="60">
        <v>40</v>
      </c>
      <c r="D236" s="106">
        <v>2.1814325284986111</v>
      </c>
      <c r="E236" s="106">
        <f t="shared" si="1"/>
        <v>4.1113192233256193</v>
      </c>
      <c r="H236" s="43"/>
      <c r="I236" s="43"/>
      <c r="J236" s="43"/>
      <c r="K236" s="43"/>
      <c r="R236" s="43"/>
      <c r="S236" s="43"/>
      <c r="T236" s="43"/>
      <c r="U236" s="43"/>
      <c r="Z236" s="16" t="s">
        <v>442</v>
      </c>
      <c r="CP236" s="27">
        <v>166.93310199999999</v>
      </c>
      <c r="CQ236" s="27">
        <v>166.932061</v>
      </c>
      <c r="CR236" s="27">
        <v>166.93286499999999</v>
      </c>
      <c r="CS236" s="27">
        <v>166.93496200000001</v>
      </c>
    </row>
    <row r="237" spans="1:99" x14ac:dyDescent="0.25">
      <c r="A237" s="8" t="s">
        <v>250</v>
      </c>
      <c r="B237" s="101">
        <v>18</v>
      </c>
      <c r="C237" s="60">
        <v>41</v>
      </c>
      <c r="D237" s="106">
        <v>6.1720311846826856</v>
      </c>
      <c r="E237" s="106">
        <f t="shared" si="1"/>
        <v>4.0855270343933112</v>
      </c>
      <c r="H237" s="43"/>
      <c r="I237" s="43"/>
      <c r="J237" s="43"/>
      <c r="K237" s="43"/>
      <c r="R237" s="43"/>
      <c r="S237" s="43"/>
      <c r="T237" s="43"/>
      <c r="U237" s="43"/>
      <c r="Z237" s="16" t="s">
        <v>443</v>
      </c>
      <c r="CQ237" s="27">
        <v>167.93238299999999</v>
      </c>
      <c r="CR237" s="27">
        <v>167.93418600000001</v>
      </c>
      <c r="CS237" s="27">
        <v>167.933908</v>
      </c>
      <c r="CT237" s="27">
        <v>167.93870999999999</v>
      </c>
    </row>
    <row r="238" spans="1:99" x14ac:dyDescent="0.25">
      <c r="A238" s="8" t="s">
        <v>232</v>
      </c>
      <c r="B238" s="101">
        <v>19</v>
      </c>
      <c r="C238" s="60">
        <v>40</v>
      </c>
      <c r="D238" s="106">
        <v>4.9973173697254198</v>
      </c>
      <c r="E238" s="106">
        <f t="shared" si="1"/>
        <v>4.3397258468437085</v>
      </c>
      <c r="H238" s="43"/>
      <c r="I238" s="43"/>
      <c r="J238" s="43"/>
      <c r="K238" s="43"/>
      <c r="R238" s="43"/>
      <c r="S238" s="43"/>
      <c r="T238" s="43"/>
      <c r="U238" s="43"/>
      <c r="Z238" s="16" t="s">
        <v>444</v>
      </c>
      <c r="CQ238" s="27">
        <v>168.93460300000001</v>
      </c>
      <c r="CR238" s="27">
        <v>168.934225</v>
      </c>
      <c r="CS238" s="27">
        <v>168.93520100000001</v>
      </c>
      <c r="CT238" s="27">
        <v>168.93786299999999</v>
      </c>
    </row>
    <row r="239" spans="1:99" x14ac:dyDescent="0.25">
      <c r="A239" s="8" t="s">
        <v>232</v>
      </c>
      <c r="B239" s="101">
        <v>19</v>
      </c>
      <c r="C239" s="60">
        <v>41</v>
      </c>
      <c r="D239" s="106">
        <v>3.2676266486449488</v>
      </c>
      <c r="E239" s="106">
        <f t="shared" si="1"/>
        <v>4.3125007585262729</v>
      </c>
      <c r="H239" s="43"/>
      <c r="I239" s="43"/>
      <c r="J239" s="43"/>
      <c r="K239" s="43"/>
      <c r="R239" s="43"/>
      <c r="S239" s="43"/>
      <c r="T239" s="43"/>
      <c r="U239" s="43"/>
      <c r="Z239" s="16" t="s">
        <v>445</v>
      </c>
      <c r="CQ239" s="27">
        <v>169.93547599999999</v>
      </c>
      <c r="CR239" s="27">
        <v>169.935813</v>
      </c>
      <c r="CS239" s="27">
        <v>169.934774</v>
      </c>
      <c r="CT239" s="27">
        <v>169.93846600000001</v>
      </c>
      <c r="CU239" s="27">
        <v>169.93975</v>
      </c>
    </row>
    <row r="240" spans="1:99" x14ac:dyDescent="0.25">
      <c r="A240" s="8" t="s">
        <v>232</v>
      </c>
      <c r="B240" s="101">
        <v>19</v>
      </c>
      <c r="C240" s="60">
        <v>42</v>
      </c>
      <c r="D240" s="106">
        <v>7.1985045259374951</v>
      </c>
      <c r="E240" s="106">
        <f t="shared" si="1"/>
        <v>4.2860482955076602</v>
      </c>
      <c r="H240" s="43"/>
      <c r="I240" s="43"/>
      <c r="J240" s="43"/>
      <c r="K240" s="43"/>
      <c r="R240" s="43"/>
      <c r="S240" s="43"/>
      <c r="T240" s="43"/>
      <c r="U240" s="43"/>
      <c r="Z240" s="16" t="s">
        <v>446</v>
      </c>
      <c r="CR240" s="27">
        <v>170.936442</v>
      </c>
      <c r="CS240" s="27">
        <v>170.93633800000001</v>
      </c>
      <c r="CT240" s="27">
        <v>170.937927</v>
      </c>
      <c r="CU240" s="27">
        <v>170.94063</v>
      </c>
    </row>
    <row r="241" spans="1:105" x14ac:dyDescent="0.25">
      <c r="A241" s="8" t="s">
        <v>232</v>
      </c>
      <c r="B241" s="101">
        <v>19</v>
      </c>
      <c r="C241" s="60">
        <v>43</v>
      </c>
      <c r="D241" s="106">
        <v>5.5057091731426953</v>
      </c>
      <c r="E241" s="106">
        <f t="shared" si="1"/>
        <v>4.2603294652510764</v>
      </c>
      <c r="H241" s="43"/>
      <c r="I241" s="43"/>
      <c r="J241" s="43"/>
      <c r="K241" s="43"/>
      <c r="R241" s="43"/>
      <c r="S241" s="43"/>
      <c r="T241" s="43"/>
      <c r="U241" s="43"/>
      <c r="Z241" s="16" t="s">
        <v>447</v>
      </c>
      <c r="CR241" s="27">
        <v>171.9384</v>
      </c>
      <c r="CS241" s="27">
        <v>171.93639300000001</v>
      </c>
      <c r="CT241" s="27">
        <v>171.93910299999999</v>
      </c>
      <c r="CU241" s="27">
        <v>171.93952999999999</v>
      </c>
    </row>
    <row r="242" spans="1:105" x14ac:dyDescent="0.25">
      <c r="A242" s="8" t="s">
        <v>232</v>
      </c>
      <c r="B242" s="101">
        <v>19</v>
      </c>
      <c r="C242" s="60">
        <v>44</v>
      </c>
      <c r="D242" s="106">
        <v>9.3210893306165641</v>
      </c>
      <c r="E242" s="106">
        <f t="shared" si="1"/>
        <v>4.2353080754043235</v>
      </c>
      <c r="H242" s="43"/>
      <c r="I242" s="43"/>
      <c r="J242" s="43"/>
      <c r="K242" s="43"/>
      <c r="R242" s="43"/>
      <c r="S242" s="43"/>
      <c r="T242" s="43"/>
      <c r="U242" s="43"/>
      <c r="Z242" s="16" t="s">
        <v>448</v>
      </c>
      <c r="CR242" s="27">
        <v>172.939639</v>
      </c>
      <c r="CS242" s="27">
        <v>172.939639</v>
      </c>
      <c r="CT242" s="27">
        <v>172.93894700000001</v>
      </c>
      <c r="CU242" s="27">
        <v>172.94066000000001</v>
      </c>
    </row>
    <row r="243" spans="1:105" x14ac:dyDescent="0.25">
      <c r="A243" s="8" t="s">
        <v>232</v>
      </c>
      <c r="B243" s="101">
        <v>19</v>
      </c>
      <c r="C243" s="60">
        <v>45</v>
      </c>
      <c r="D243" s="106">
        <v>7.8673657304164557</v>
      </c>
      <c r="E243" s="106">
        <f t="shared" si="1"/>
        <v>4.2109504752665643</v>
      </c>
      <c r="H243" s="43"/>
      <c r="I243" s="43"/>
      <c r="J243" s="43"/>
      <c r="K243" s="43"/>
      <c r="R243" s="43"/>
      <c r="S243" s="43"/>
      <c r="T243" s="43"/>
      <c r="U243" s="43"/>
      <c r="Z243" s="16" t="s">
        <v>449</v>
      </c>
      <c r="CS243" s="27">
        <v>173.938873</v>
      </c>
      <c r="CT243" s="27">
        <v>173.94035299999999</v>
      </c>
      <c r="CU243" s="27">
        <v>173.940065</v>
      </c>
      <c r="CV243" s="27">
        <v>173.94418999999999</v>
      </c>
    </row>
    <row r="244" spans="1:105" x14ac:dyDescent="0.25">
      <c r="A244" s="8" t="s">
        <v>251</v>
      </c>
      <c r="B244" s="101">
        <v>20</v>
      </c>
      <c r="C244" s="60">
        <v>43</v>
      </c>
      <c r="D244" s="106">
        <v>1.4588847863190639</v>
      </c>
      <c r="E244" s="106">
        <f t="shared" si="1"/>
        <v>4.4845573318432379</v>
      </c>
      <c r="H244" s="43"/>
      <c r="I244" s="43"/>
      <c r="J244" s="43"/>
      <c r="K244" s="43"/>
      <c r="R244" s="43"/>
      <c r="S244" s="43"/>
      <c r="T244" s="43"/>
      <c r="U244" s="43"/>
      <c r="Z244" s="16" t="s">
        <v>450</v>
      </c>
      <c r="CS244" s="27">
        <v>174.94128699999999</v>
      </c>
      <c r="CT244" s="27">
        <v>174.94078500000001</v>
      </c>
      <c r="CU244" s="27">
        <v>174.941441</v>
      </c>
    </row>
    <row r="245" spans="1:105" x14ac:dyDescent="0.25">
      <c r="A245" s="8" t="s">
        <v>251</v>
      </c>
      <c r="B245" s="101">
        <v>20</v>
      </c>
      <c r="C245" s="60">
        <v>45</v>
      </c>
      <c r="D245" s="106">
        <v>3.9558890678824477</v>
      </c>
      <c r="E245" s="106">
        <f t="shared" si="1"/>
        <v>4.4325794476490152</v>
      </c>
      <c r="H245" s="43"/>
      <c r="I245" s="43"/>
      <c r="J245" s="43"/>
      <c r="K245" s="43"/>
      <c r="R245" s="43"/>
      <c r="S245" s="43"/>
      <c r="T245" s="43"/>
      <c r="U245" s="43"/>
      <c r="Z245" s="16" t="s">
        <v>451</v>
      </c>
      <c r="CS245" s="27">
        <v>175.942576</v>
      </c>
      <c r="CT245" s="27">
        <v>175.94269399999999</v>
      </c>
      <c r="CU245" s="27">
        <v>175.94141999999999</v>
      </c>
      <c r="CV245" s="27">
        <v>175.94475</v>
      </c>
      <c r="CW245" s="27">
        <v>175.94570999999999</v>
      </c>
    </row>
    <row r="246" spans="1:105" x14ac:dyDescent="0.25">
      <c r="A246" s="8" t="s">
        <v>251</v>
      </c>
      <c r="B246" s="101">
        <v>20</v>
      </c>
      <c r="C246" s="60">
        <v>46</v>
      </c>
      <c r="D246" s="106">
        <v>2.3089198909661968</v>
      </c>
      <c r="E246" s="106">
        <f t="shared" si="1"/>
        <v>4.4076056065413933</v>
      </c>
      <c r="H246" s="43"/>
      <c r="I246" s="43"/>
      <c r="J246" s="43"/>
      <c r="K246" s="43"/>
      <c r="R246" s="43"/>
      <c r="S246" s="43"/>
      <c r="T246" s="43"/>
      <c r="U246" s="43"/>
      <c r="Z246" s="16" t="s">
        <v>452</v>
      </c>
      <c r="CT246" s="27">
        <v>176.94376600000001</v>
      </c>
      <c r="CU246" s="27">
        <v>176.94323299999999</v>
      </c>
      <c r="CV246" s="27">
        <v>176.94447600000001</v>
      </c>
      <c r="CW246" s="27">
        <v>176.94662</v>
      </c>
    </row>
    <row r="247" spans="1:105" x14ac:dyDescent="0.25">
      <c r="A247" s="8" t="s">
        <v>251</v>
      </c>
      <c r="B247" s="101">
        <v>20</v>
      </c>
      <c r="C247" s="60">
        <v>47</v>
      </c>
      <c r="D247" s="106">
        <v>5.6747547219654013</v>
      </c>
      <c r="E247" s="106">
        <f t="shared" si="1"/>
        <v>4.383266733995665</v>
      </c>
      <c r="H247" s="43"/>
      <c r="I247" s="43"/>
      <c r="J247" s="43"/>
      <c r="K247" s="43"/>
      <c r="R247" s="43"/>
      <c r="S247" s="43"/>
      <c r="T247" s="43"/>
      <c r="Z247" s="16" t="s">
        <v>453</v>
      </c>
      <c r="CT247" s="27">
        <v>177.946</v>
      </c>
      <c r="CU247" s="27">
        <v>177.94371000000001</v>
      </c>
      <c r="CV247" s="27">
        <v>177.94576000000001</v>
      </c>
      <c r="CW247" s="27">
        <v>177.94586000000001</v>
      </c>
    </row>
    <row r="248" spans="1:105" x14ac:dyDescent="0.25">
      <c r="A248" s="8" t="s">
        <v>251</v>
      </c>
      <c r="B248" s="101">
        <v>20</v>
      </c>
      <c r="C248" s="60">
        <v>48</v>
      </c>
      <c r="D248" s="106">
        <v>3.9770105321896967</v>
      </c>
      <c r="E248" s="106">
        <f t="shared" si="1"/>
        <v>4.359534087124457</v>
      </c>
      <c r="H248" s="43"/>
      <c r="I248" s="43"/>
      <c r="J248" s="43"/>
      <c r="K248" s="43"/>
      <c r="R248" s="43"/>
      <c r="S248" s="43"/>
      <c r="T248" s="43"/>
      <c r="Z248" s="16" t="s">
        <v>454</v>
      </c>
      <c r="CU248" s="27">
        <v>178.94582700000001</v>
      </c>
      <c r="CV248" s="27">
        <v>178.94595100000001</v>
      </c>
      <c r="CW248" s="27">
        <v>178.947093</v>
      </c>
    </row>
    <row r="249" spans="1:105" x14ac:dyDescent="0.25">
      <c r="A249" s="8" t="s">
        <v>252</v>
      </c>
      <c r="B249" s="101">
        <v>21</v>
      </c>
      <c r="C249" s="60">
        <v>44</v>
      </c>
      <c r="D249" s="106">
        <v>3.4276793268251877</v>
      </c>
      <c r="E249" s="106">
        <f t="shared" si="1"/>
        <v>4.681129978078463</v>
      </c>
      <c r="H249" s="43"/>
      <c r="I249" s="43"/>
      <c r="J249" s="43"/>
      <c r="K249" s="43"/>
      <c r="R249" s="43"/>
      <c r="S249" s="43"/>
      <c r="T249" s="43"/>
      <c r="Z249" s="16" t="s">
        <v>455</v>
      </c>
      <c r="CU249" s="27">
        <v>179.946561</v>
      </c>
      <c r="CV249" s="27">
        <v>179.94748899999999</v>
      </c>
      <c r="CW249" s="27">
        <v>179.94672700000001</v>
      </c>
      <c r="CX249" s="27">
        <v>179.95080100000001</v>
      </c>
    </row>
    <row r="250" spans="1:105" x14ac:dyDescent="0.25">
      <c r="A250" s="8" t="s">
        <v>252</v>
      </c>
      <c r="B250" s="101">
        <v>21</v>
      </c>
      <c r="C250" s="60">
        <v>45</v>
      </c>
      <c r="D250" s="106">
        <v>1.6197838913909595</v>
      </c>
      <c r="E250" s="106">
        <f t="shared" si="1"/>
        <v>4.6542084200314662</v>
      </c>
      <c r="H250" s="43"/>
      <c r="I250" s="43"/>
      <c r="J250" s="43"/>
      <c r="K250" s="43"/>
      <c r="R250" s="43"/>
      <c r="S250" s="43"/>
      <c r="T250" s="43"/>
      <c r="Z250" s="16" t="s">
        <v>456</v>
      </c>
      <c r="CV250" s="27">
        <v>180.948014</v>
      </c>
      <c r="CW250" s="27">
        <v>180.948215</v>
      </c>
      <c r="CX250" s="27">
        <v>180.95015000000001</v>
      </c>
    </row>
    <row r="251" spans="1:105" x14ac:dyDescent="0.25">
      <c r="A251" s="8" t="s">
        <v>252</v>
      </c>
      <c r="B251" s="101">
        <v>21</v>
      </c>
      <c r="C251" s="60">
        <v>46</v>
      </c>
      <c r="D251" s="106">
        <v>6.0519764367634634</v>
      </c>
      <c r="E251" s="106">
        <f t="shared" si="1"/>
        <v>4.6279858868684629</v>
      </c>
      <c r="H251" s="43"/>
      <c r="I251" s="43"/>
      <c r="J251" s="43"/>
      <c r="K251" s="43"/>
      <c r="R251" s="43"/>
      <c r="S251" s="43"/>
      <c r="T251" s="43"/>
      <c r="Z251" s="16" t="s">
        <v>457</v>
      </c>
      <c r="CV251" s="27">
        <v>181.95017000000001</v>
      </c>
      <c r="CW251" s="27">
        <v>181.94822500000001</v>
      </c>
      <c r="CX251" s="27">
        <v>181.95123000000001</v>
      </c>
      <c r="CY251" s="27">
        <v>181.95214000000001</v>
      </c>
    </row>
    <row r="252" spans="1:105" x14ac:dyDescent="0.25">
      <c r="A252" s="8" t="s">
        <v>252</v>
      </c>
      <c r="B252" s="101">
        <v>21</v>
      </c>
      <c r="C252" s="60">
        <v>47</v>
      </c>
      <c r="D252" s="106">
        <v>4.2932075661665356</v>
      </c>
      <c r="E252" s="106">
        <f t="shared" si="1"/>
        <v>4.6024300706954486</v>
      </c>
      <c r="H252" s="43"/>
      <c r="I252" s="43"/>
      <c r="J252" s="43"/>
      <c r="K252" s="43"/>
      <c r="R252" s="43"/>
      <c r="S252" s="43"/>
      <c r="T252" s="43"/>
      <c r="Z252" s="16" t="s">
        <v>458</v>
      </c>
      <c r="CV252" s="27">
        <v>182.951391</v>
      </c>
      <c r="CW252" s="27">
        <v>182.950245</v>
      </c>
      <c r="CX252" s="27">
        <v>182.950841</v>
      </c>
      <c r="CY252" s="27">
        <v>182.95330999999999</v>
      </c>
    </row>
    <row r="253" spans="1:105" x14ac:dyDescent="0.25">
      <c r="A253" s="8" t="s">
        <v>252</v>
      </c>
      <c r="B253" s="101">
        <v>21</v>
      </c>
      <c r="C253" s="60">
        <v>48</v>
      </c>
      <c r="D253" s="106">
        <v>7.6660804478077402</v>
      </c>
      <c r="E253" s="106">
        <f t="shared" si="1"/>
        <v>4.5775107914806803</v>
      </c>
      <c r="H253" s="43"/>
      <c r="I253" s="43"/>
      <c r="J253" s="43"/>
      <c r="K253" s="43"/>
      <c r="R253" s="43"/>
      <c r="S253" s="43"/>
      <c r="T253" s="43"/>
      <c r="Z253" s="16" t="s">
        <v>459</v>
      </c>
      <c r="CW253" s="27">
        <v>183.950953</v>
      </c>
      <c r="CX253" s="27">
        <v>183.95255900000001</v>
      </c>
      <c r="CY253" s="27">
        <v>183.95251400000001</v>
      </c>
      <c r="CZ253" s="27">
        <v>183.95758000000001</v>
      </c>
    </row>
    <row r="254" spans="1:105" x14ac:dyDescent="0.25">
      <c r="A254" s="8" t="s">
        <v>252</v>
      </c>
      <c r="B254" s="101">
        <v>21</v>
      </c>
      <c r="C254" s="60">
        <v>49</v>
      </c>
      <c r="D254" s="106">
        <v>5.6927651719465873</v>
      </c>
      <c r="E254" s="106">
        <f t="shared" si="1"/>
        <v>4.5531998165923113</v>
      </c>
      <c r="H254" s="43"/>
      <c r="I254" s="43"/>
      <c r="J254" s="43"/>
      <c r="K254" s="43"/>
      <c r="R254" s="43"/>
      <c r="S254" s="43"/>
      <c r="T254" s="43"/>
      <c r="Z254" s="16" t="s">
        <v>460</v>
      </c>
      <c r="CW254" s="27">
        <v>184.953441</v>
      </c>
      <c r="CX254" s="27">
        <v>184.952977</v>
      </c>
      <c r="CY254" s="27">
        <v>184.95406600000001</v>
      </c>
      <c r="CZ254" s="27">
        <v>184.85675000000001</v>
      </c>
      <c r="DA254" s="27">
        <v>184.96082999999999</v>
      </c>
    </row>
    <row r="255" spans="1:105" x14ac:dyDescent="0.25">
      <c r="A255" s="8" t="s">
        <v>252</v>
      </c>
      <c r="B255" s="101">
        <v>21</v>
      </c>
      <c r="C255" s="60">
        <v>50</v>
      </c>
      <c r="D255" s="106">
        <v>10.548626583501695</v>
      </c>
      <c r="E255" s="106">
        <f t="shared" si="1"/>
        <v>4.529470698933995</v>
      </c>
      <c r="H255" s="43"/>
      <c r="I255" s="43"/>
      <c r="J255" s="43"/>
      <c r="K255" s="43"/>
      <c r="R255" s="43"/>
      <c r="S255" s="43"/>
      <c r="T255" s="43"/>
      <c r="Z255" s="16" t="s">
        <v>461</v>
      </c>
      <c r="CW255" s="27">
        <v>185.95437699999999</v>
      </c>
      <c r="CX255" s="27">
        <v>185.95500799999999</v>
      </c>
      <c r="CY255" s="27">
        <v>185.95385200000001</v>
      </c>
      <c r="CZ255" s="27">
        <v>185.957965</v>
      </c>
      <c r="DA255" s="27">
        <v>185.95939000000001</v>
      </c>
    </row>
    <row r="256" spans="1:105" x14ac:dyDescent="0.25">
      <c r="A256" s="8" t="s">
        <v>253</v>
      </c>
      <c r="B256" s="101">
        <v>22</v>
      </c>
      <c r="C256" s="60">
        <v>47</v>
      </c>
      <c r="D256" s="106">
        <v>0.74367008617745634</v>
      </c>
      <c r="E256" s="106">
        <f t="shared" si="1"/>
        <v>4.8215934073952313</v>
      </c>
      <c r="H256" s="43"/>
      <c r="I256" s="43"/>
      <c r="J256" s="43"/>
      <c r="K256" s="43"/>
      <c r="R256" s="43"/>
      <c r="S256" s="43"/>
      <c r="T256" s="43"/>
      <c r="Z256" s="16" t="s">
        <v>462</v>
      </c>
      <c r="CX256" s="27">
        <v>186.95576500000001</v>
      </c>
      <c r="CY256" s="27">
        <v>186.95576199999999</v>
      </c>
      <c r="CZ256" s="27">
        <v>186.95737</v>
      </c>
      <c r="DA256" s="27">
        <v>186.96048999999999</v>
      </c>
    </row>
    <row r="257" spans="1:109" x14ac:dyDescent="0.25">
      <c r="A257" s="8" t="s">
        <v>253</v>
      </c>
      <c r="B257" s="101">
        <v>22</v>
      </c>
      <c r="C257" s="60">
        <v>49</v>
      </c>
      <c r="D257" s="106">
        <v>3.0928784233350242</v>
      </c>
      <c r="E257" s="106">
        <f t="shared" si="1"/>
        <v>4.7700188554776597</v>
      </c>
      <c r="H257" s="43"/>
      <c r="I257" s="43"/>
      <c r="J257" s="43"/>
      <c r="K257" s="43"/>
      <c r="R257" s="43"/>
      <c r="S257" s="43"/>
      <c r="T257" s="43"/>
      <c r="Z257" s="16" t="s">
        <v>463</v>
      </c>
      <c r="CX257" s="27">
        <v>187.95812599999999</v>
      </c>
      <c r="CY257" s="27">
        <v>187.95585</v>
      </c>
      <c r="CZ257" s="27">
        <v>187.95885899999999</v>
      </c>
      <c r="DA257" s="27">
        <v>187.95943399999999</v>
      </c>
    </row>
    <row r="258" spans="1:109" x14ac:dyDescent="0.25">
      <c r="A258" s="8" t="s">
        <v>253</v>
      </c>
      <c r="B258" s="101">
        <v>22</v>
      </c>
      <c r="C258" s="60">
        <v>50</v>
      </c>
      <c r="D258" s="106">
        <v>1.4748065898652509</v>
      </c>
      <c r="E258" s="106">
        <f t="shared" si="1"/>
        <v>4.745159779835614</v>
      </c>
      <c r="H258" s="43"/>
      <c r="I258" s="43"/>
      <c r="J258" s="43"/>
      <c r="K258" s="43"/>
      <c r="R258" s="43"/>
      <c r="S258" s="43"/>
      <c r="T258" s="43"/>
      <c r="Z258" s="16" t="s">
        <v>464</v>
      </c>
      <c r="CX258" s="27">
        <v>188.959238</v>
      </c>
      <c r="CY258" s="27">
        <v>188.958156</v>
      </c>
      <c r="CZ258" s="27">
        <v>188.95868999999999</v>
      </c>
      <c r="DA258" s="27">
        <v>188.96073999999999</v>
      </c>
    </row>
    <row r="259" spans="1:109" x14ac:dyDescent="0.25">
      <c r="A259" s="8" t="s">
        <v>254</v>
      </c>
      <c r="B259" s="101">
        <v>23</v>
      </c>
      <c r="C259" s="60">
        <v>48</v>
      </c>
      <c r="D259" s="106">
        <v>2.0364499730965364</v>
      </c>
      <c r="E259" s="106">
        <f t="shared" si="1"/>
        <v>5.013464200193126</v>
      </c>
      <c r="H259" s="43"/>
      <c r="I259" s="43"/>
      <c r="J259" s="43"/>
      <c r="K259" s="43"/>
      <c r="R259" s="43"/>
      <c r="S259" s="43"/>
      <c r="T259" s="43"/>
      <c r="Z259" s="16" t="s">
        <v>465</v>
      </c>
      <c r="CY259" s="27">
        <v>189.95845499999999</v>
      </c>
      <c r="CZ259" s="27">
        <v>189.9606</v>
      </c>
      <c r="DA259" s="27">
        <v>189.959937</v>
      </c>
      <c r="DB259" s="27">
        <v>189.96470600000001</v>
      </c>
    </row>
    <row r="260" spans="1:109" x14ac:dyDescent="0.25">
      <c r="A260" s="8" t="s">
        <v>254</v>
      </c>
      <c r="B260" s="101">
        <v>23</v>
      </c>
      <c r="C260" s="60">
        <v>49</v>
      </c>
      <c r="D260" s="106">
        <v>1.0536235721002327</v>
      </c>
      <c r="E260" s="106">
        <f t="shared" si="1"/>
        <v>4.9868378943630081</v>
      </c>
      <c r="H260" s="43"/>
      <c r="I260" s="43"/>
      <c r="J260" s="43"/>
      <c r="K260" s="43"/>
      <c r="R260" s="43"/>
      <c r="S260" s="43"/>
      <c r="T260" s="43"/>
      <c r="Z260" s="16" t="s">
        <v>466</v>
      </c>
      <c r="CY260" s="27">
        <v>190.960936</v>
      </c>
      <c r="CZ260" s="27">
        <v>190.96060299999999</v>
      </c>
      <c r="DA260" s="27">
        <v>190.96167700000001</v>
      </c>
      <c r="DB260" s="27">
        <v>190.96364</v>
      </c>
    </row>
    <row r="261" spans="1:109" x14ac:dyDescent="0.25">
      <c r="A261" s="8" t="s">
        <v>254</v>
      </c>
      <c r="B261" s="101">
        <v>23</v>
      </c>
      <c r="C261" s="60">
        <v>50</v>
      </c>
      <c r="D261" s="106">
        <v>4.7316063203649277</v>
      </c>
      <c r="E261" s="106">
        <f t="shared" si="1"/>
        <v>4.960848860737233</v>
      </c>
      <c r="H261" s="43"/>
      <c r="I261" s="43"/>
      <c r="J261" s="43"/>
      <c r="K261" s="43"/>
      <c r="R261" s="43"/>
      <c r="S261" s="43"/>
      <c r="T261" s="43"/>
      <c r="Z261" s="16" t="s">
        <v>467</v>
      </c>
      <c r="CY261" s="27">
        <v>191.96148700000001</v>
      </c>
      <c r="CZ261" s="27">
        <v>191.962613</v>
      </c>
      <c r="DA261" s="27">
        <v>191.961049</v>
      </c>
      <c r="DB261" s="27">
        <v>191.964823</v>
      </c>
      <c r="DC261" s="27">
        <v>191.96567999999999</v>
      </c>
    </row>
    <row r="262" spans="1:109" x14ac:dyDescent="0.25">
      <c r="A262" s="8" t="s">
        <v>254</v>
      </c>
      <c r="B262" s="101">
        <v>23</v>
      </c>
      <c r="C262" s="60">
        <v>51</v>
      </c>
      <c r="D262" s="106">
        <v>2.9442067634942188</v>
      </c>
      <c r="E262" s="106">
        <f t="shared" si="1"/>
        <v>4.9354699296669757</v>
      </c>
      <c r="H262" s="43"/>
      <c r="I262" s="43"/>
      <c r="J262" s="43"/>
      <c r="K262" s="43"/>
      <c r="R262" s="43"/>
      <c r="S262" s="43"/>
      <c r="T262" s="43"/>
      <c r="Z262" s="16" t="s">
        <v>468</v>
      </c>
      <c r="CY262" s="27">
        <v>192.964158</v>
      </c>
      <c r="CZ262" s="27">
        <v>192.962942</v>
      </c>
      <c r="DA262" s="27">
        <v>192.963008</v>
      </c>
      <c r="DB262" s="27">
        <v>192.96419</v>
      </c>
      <c r="DC262" s="27">
        <v>192.9667</v>
      </c>
    </row>
    <row r="263" spans="1:109" x14ac:dyDescent="0.25">
      <c r="A263" s="8" t="s">
        <v>254</v>
      </c>
      <c r="B263" s="101">
        <v>23</v>
      </c>
      <c r="C263" s="60">
        <v>52</v>
      </c>
      <c r="D263" s="106">
        <v>7.6559266660761143</v>
      </c>
      <c r="E263" s="106">
        <f t="shared" si="1"/>
        <v>4.9106755841471355</v>
      </c>
      <c r="H263" s="43"/>
      <c r="I263" s="43"/>
      <c r="J263" s="43"/>
      <c r="K263" s="43"/>
      <c r="R263" s="43"/>
      <c r="S263" s="43"/>
      <c r="T263" s="43"/>
      <c r="Z263" s="16" t="s">
        <v>469</v>
      </c>
      <c r="CY263" s="27">
        <v>193.96519900000001</v>
      </c>
      <c r="CZ263" s="27">
        <v>193.96509499999999</v>
      </c>
      <c r="DA263" s="27">
        <v>193.96267900000001</v>
      </c>
      <c r="DB263" s="27">
        <v>193.965372</v>
      </c>
      <c r="DC263" s="27">
        <v>193.96542600000001</v>
      </c>
    </row>
    <row r="264" spans="1:109" x14ac:dyDescent="0.25">
      <c r="A264" s="8" t="s">
        <v>255</v>
      </c>
      <c r="B264" s="101">
        <v>24</v>
      </c>
      <c r="C264" s="60">
        <v>51</v>
      </c>
      <c r="D264" s="106">
        <v>0.46152718263891868</v>
      </c>
      <c r="E264" s="106">
        <f t="shared" si="1"/>
        <v>5.1500555787829319</v>
      </c>
      <c r="H264" s="43"/>
      <c r="I264" s="43"/>
      <c r="J264" s="43"/>
      <c r="K264" s="43"/>
      <c r="R264" s="43"/>
      <c r="S264" s="43"/>
      <c r="T264" s="43"/>
      <c r="Z264" s="16" t="s">
        <v>470</v>
      </c>
      <c r="CZ264" s="27">
        <v>194.96597700000001</v>
      </c>
      <c r="DA264" s="27">
        <v>194.96478500000001</v>
      </c>
      <c r="DB264" s="27">
        <v>194.96503200000001</v>
      </c>
      <c r="DC264" s="27">
        <v>194.96665999999999</v>
      </c>
    </row>
    <row r="265" spans="1:109" x14ac:dyDescent="0.25">
      <c r="A265" s="8" t="s">
        <v>255</v>
      </c>
      <c r="B265" s="101">
        <v>24</v>
      </c>
      <c r="C265" s="60">
        <v>53</v>
      </c>
      <c r="D265" s="106">
        <v>3.1001224195557562</v>
      </c>
      <c r="E265" s="106">
        <f t="shared" si="1"/>
        <v>5.0988958228188093</v>
      </c>
      <c r="H265" s="43"/>
      <c r="I265" s="43"/>
      <c r="J265" s="43"/>
      <c r="K265" s="43"/>
      <c r="R265" s="43"/>
      <c r="S265" s="43"/>
      <c r="T265" s="43"/>
      <c r="Z265" s="16" t="s">
        <v>471</v>
      </c>
      <c r="DA265" s="27">
        <v>195.964947</v>
      </c>
      <c r="DB265" s="27">
        <v>195.96654599999999</v>
      </c>
      <c r="DC265" s="27">
        <v>195.965812</v>
      </c>
      <c r="DD265" s="27">
        <v>195.97064</v>
      </c>
    </row>
    <row r="266" spans="1:109" x14ac:dyDescent="0.25">
      <c r="A266" s="8" t="s">
        <v>255</v>
      </c>
      <c r="B266" s="101">
        <v>24</v>
      </c>
      <c r="C266" s="60">
        <v>54</v>
      </c>
      <c r="D266" s="106">
        <v>2.3181196430465065</v>
      </c>
      <c r="E266" s="106">
        <f t="shared" ref="E266:E329" si="2">B266/(1+C266^0.33)</f>
        <v>5.0741698222294733</v>
      </c>
      <c r="H266" s="43"/>
      <c r="I266" s="43"/>
      <c r="J266" s="43"/>
      <c r="K266" s="43"/>
      <c r="R266" s="43"/>
      <c r="S266" s="43"/>
      <c r="T266" s="43"/>
      <c r="Z266" s="16" t="s">
        <v>472</v>
      </c>
      <c r="DA266" s="27">
        <v>196.967332</v>
      </c>
      <c r="DB266" s="27">
        <v>196.96655000000001</v>
      </c>
      <c r="DC266" s="27">
        <v>196.967005</v>
      </c>
      <c r="DD266" s="27">
        <v>196.96958000000001</v>
      </c>
    </row>
    <row r="267" spans="1:109" x14ac:dyDescent="0.25">
      <c r="A267" s="8" t="s">
        <v>255</v>
      </c>
      <c r="B267" s="101">
        <v>24</v>
      </c>
      <c r="C267" s="60">
        <v>55</v>
      </c>
      <c r="D267" s="106">
        <v>6.2928140976903251</v>
      </c>
      <c r="E267" s="106">
        <f t="shared" si="2"/>
        <v>5.0499830022089078</v>
      </c>
      <c r="H267" s="43"/>
      <c r="I267" s="43"/>
      <c r="J267" s="43"/>
      <c r="K267" s="43"/>
      <c r="R267" s="43"/>
      <c r="S267" s="43"/>
      <c r="T267" s="43"/>
      <c r="Z267" s="16" t="s">
        <v>473</v>
      </c>
      <c r="DA267" s="27">
        <v>197.96789699999999</v>
      </c>
      <c r="DB267" s="27">
        <v>197.968233</v>
      </c>
      <c r="DC267" s="27">
        <v>197.96675999999999</v>
      </c>
      <c r="DD267" s="27">
        <v>197.97047000000001</v>
      </c>
      <c r="DE267" s="27">
        <v>197.97219000000001</v>
      </c>
    </row>
    <row r="268" spans="1:109" x14ac:dyDescent="0.25">
      <c r="A268" s="8" t="s">
        <v>256</v>
      </c>
      <c r="B268" s="101">
        <v>25</v>
      </c>
      <c r="C268" s="60">
        <v>52</v>
      </c>
      <c r="D268" s="106">
        <v>1.3146951234149766</v>
      </c>
      <c r="E268" s="106">
        <f t="shared" si="2"/>
        <v>5.3376908523338429</v>
      </c>
      <c r="H268" s="43"/>
      <c r="I268" s="43"/>
      <c r="J268" s="43"/>
      <c r="K268" s="43"/>
      <c r="R268" s="43"/>
      <c r="S268" s="43"/>
      <c r="T268" s="43"/>
      <c r="Z268" s="16" t="s">
        <v>474</v>
      </c>
      <c r="DB268" s="27">
        <v>198.96875600000001</v>
      </c>
      <c r="DC268" s="27">
        <v>198.96826899999999</v>
      </c>
      <c r="DD268" s="27">
        <v>198.96985000000001</v>
      </c>
      <c r="DE268" s="27">
        <v>198.97286</v>
      </c>
    </row>
    <row r="269" spans="1:109" x14ac:dyDescent="0.25">
      <c r="A269" s="8" t="s">
        <v>256</v>
      </c>
      <c r="B269" s="101">
        <v>25</v>
      </c>
      <c r="C269" s="60">
        <v>54</v>
      </c>
      <c r="D269" s="106">
        <v>4.3928385106782901</v>
      </c>
      <c r="E269" s="106">
        <f t="shared" si="2"/>
        <v>5.285593564822368</v>
      </c>
      <c r="H269" s="43"/>
      <c r="I269" s="43"/>
      <c r="J269" s="43"/>
      <c r="K269" s="43"/>
      <c r="R269" s="43"/>
      <c r="S269" s="43"/>
      <c r="T269" s="43"/>
      <c r="Z269" s="16" t="s">
        <v>475</v>
      </c>
      <c r="DB269" s="27">
        <v>199.97068999999999</v>
      </c>
      <c r="DC269" s="27">
        <v>199.96831599999999</v>
      </c>
      <c r="DD269" s="27">
        <v>199.97094999999999</v>
      </c>
      <c r="DE269" s="27">
        <v>199.97192000000001</v>
      </c>
    </row>
    <row r="270" spans="1:109" x14ac:dyDescent="0.25">
      <c r="A270" s="8" t="s">
        <v>256</v>
      </c>
      <c r="B270" s="101">
        <v>25</v>
      </c>
      <c r="C270" s="60">
        <v>55</v>
      </c>
      <c r="D270" s="106">
        <v>3.4659472946561416</v>
      </c>
      <c r="E270" s="106">
        <f t="shared" si="2"/>
        <v>5.2603989606342791</v>
      </c>
      <c r="H270" s="43"/>
      <c r="I270" s="43"/>
      <c r="J270" s="43"/>
      <c r="K270" s="43"/>
      <c r="R270" s="43"/>
      <c r="S270" s="43"/>
      <c r="T270" s="43"/>
      <c r="Z270" s="16" t="s">
        <v>476</v>
      </c>
      <c r="DB270" s="27">
        <v>200.97166000000001</v>
      </c>
      <c r="DC270" s="27">
        <v>200.970293</v>
      </c>
      <c r="DD270" s="27">
        <v>200.97081600000001</v>
      </c>
      <c r="DE270" s="27">
        <v>200.97281000000001</v>
      </c>
    </row>
    <row r="271" spans="1:109" x14ac:dyDescent="0.25">
      <c r="A271" s="8" t="s">
        <v>256</v>
      </c>
      <c r="B271" s="101">
        <v>25</v>
      </c>
      <c r="C271" s="60">
        <v>56</v>
      </c>
      <c r="D271" s="106">
        <v>7.3791694816941744</v>
      </c>
      <c r="E271" s="106">
        <f t="shared" si="2"/>
        <v>5.2357441706699932</v>
      </c>
      <c r="H271" s="43"/>
      <c r="I271" s="43"/>
      <c r="J271" s="43"/>
      <c r="K271" s="43"/>
      <c r="R271" s="43"/>
      <c r="S271" s="43"/>
      <c r="T271" s="43"/>
      <c r="Z271" s="16" t="s">
        <v>477</v>
      </c>
      <c r="DC271" s="27">
        <v>201.97063199999999</v>
      </c>
      <c r="DD271" s="27">
        <v>201.97210100000001</v>
      </c>
      <c r="DE271" s="27">
        <v>201.97215</v>
      </c>
    </row>
    <row r="272" spans="1:109" x14ac:dyDescent="0.25">
      <c r="A272" s="8" t="s">
        <v>257</v>
      </c>
      <c r="B272" s="101">
        <v>26</v>
      </c>
      <c r="C272" s="60">
        <v>55</v>
      </c>
      <c r="D272" s="106">
        <v>0.20808468304541683</v>
      </c>
      <c r="E272" s="106">
        <f t="shared" si="2"/>
        <v>5.4708149190596504</v>
      </c>
      <c r="H272" s="43"/>
      <c r="I272" s="43"/>
      <c r="J272" s="43"/>
      <c r="K272" s="43"/>
      <c r="R272" s="43"/>
      <c r="S272" s="43"/>
      <c r="T272" s="43"/>
      <c r="Z272" s="16" t="s">
        <v>478</v>
      </c>
      <c r="DC272" s="27">
        <v>202.97286399999999</v>
      </c>
      <c r="DD272" s="27">
        <v>202.97233600000001</v>
      </c>
      <c r="DE272" s="27">
        <v>202.97338199999999</v>
      </c>
    </row>
    <row r="273" spans="1:114" x14ac:dyDescent="0.25">
      <c r="A273" s="8" t="s">
        <v>257</v>
      </c>
      <c r="B273" s="101">
        <v>26</v>
      </c>
      <c r="C273" s="60">
        <v>57</v>
      </c>
      <c r="D273" s="106">
        <v>2.8611213504355391</v>
      </c>
      <c r="E273" s="106">
        <f t="shared" si="2"/>
        <v>5.420072917995471</v>
      </c>
      <c r="H273" s="43"/>
      <c r="I273" s="43"/>
      <c r="J273" s="43"/>
      <c r="K273" s="43"/>
      <c r="R273" s="43"/>
      <c r="S273" s="43"/>
      <c r="T273" s="43"/>
      <c r="Z273" s="16" t="s">
        <v>479</v>
      </c>
      <c r="DC273" s="27">
        <v>203.97348099999999</v>
      </c>
      <c r="DD273" s="27">
        <v>203.97385600000001</v>
      </c>
      <c r="DE273" s="27">
        <v>203.97303700000001</v>
      </c>
      <c r="DF273" s="27">
        <v>203.97765000000001</v>
      </c>
    </row>
    <row r="274" spans="1:114" x14ac:dyDescent="0.25">
      <c r="A274" s="8" t="s">
        <v>257</v>
      </c>
      <c r="B274" s="101">
        <v>26</v>
      </c>
      <c r="C274" s="60">
        <v>58</v>
      </c>
      <c r="D274" s="106">
        <v>1.383119811817106</v>
      </c>
      <c r="E274" s="106">
        <f t="shared" si="2"/>
        <v>5.3954915861955799</v>
      </c>
      <c r="H274" s="43"/>
      <c r="I274" s="43"/>
      <c r="J274" s="43"/>
      <c r="K274" s="43"/>
      <c r="R274" s="43"/>
      <c r="S274" s="43"/>
      <c r="T274" s="43"/>
      <c r="Z274" s="16" t="s">
        <v>480</v>
      </c>
      <c r="DD274" s="27">
        <v>204.97441000000001</v>
      </c>
      <c r="DE274" s="27">
        <v>204.97447500000001</v>
      </c>
      <c r="DF274" s="27">
        <v>204.97738100000001</v>
      </c>
    </row>
    <row r="275" spans="1:114" x14ac:dyDescent="0.25">
      <c r="A275" s="8" t="s">
        <v>258</v>
      </c>
      <c r="B275" s="101">
        <v>27</v>
      </c>
      <c r="C275" s="60">
        <v>56</v>
      </c>
      <c r="D275" s="106">
        <v>1.5571090914606116</v>
      </c>
      <c r="E275" s="106">
        <f t="shared" si="2"/>
        <v>5.654603704323593</v>
      </c>
      <c r="H275" s="43"/>
      <c r="I275" s="43"/>
      <c r="J275" s="43"/>
      <c r="K275" s="43"/>
      <c r="R275" s="43"/>
      <c r="S275" s="43"/>
      <c r="T275" s="43"/>
      <c r="Z275" s="16" t="s">
        <v>481</v>
      </c>
      <c r="DD275" s="27">
        <v>205.97609399999999</v>
      </c>
      <c r="DE275" s="27">
        <v>205.97445500000001</v>
      </c>
      <c r="DF275" s="27">
        <v>205.97849400000001</v>
      </c>
      <c r="DG275" s="27">
        <v>205.98047199999999</v>
      </c>
    </row>
    <row r="276" spans="1:114" x14ac:dyDescent="0.25">
      <c r="A276" s="8" t="s">
        <v>258</v>
      </c>
      <c r="B276" s="101">
        <v>27</v>
      </c>
      <c r="C276" s="60">
        <v>57</v>
      </c>
      <c r="D276" s="106">
        <v>0.43093190686733063</v>
      </c>
      <c r="E276" s="106">
        <f t="shared" si="2"/>
        <v>5.6285372609952971</v>
      </c>
      <c r="H276" s="43"/>
      <c r="I276" s="43"/>
      <c r="J276" s="43"/>
      <c r="K276" s="43"/>
      <c r="R276" s="43"/>
      <c r="S276" s="43"/>
      <c r="T276" s="43"/>
      <c r="Z276" s="16" t="s">
        <v>482</v>
      </c>
      <c r="DE276" s="27">
        <v>206.97588500000001</v>
      </c>
      <c r="DF276" s="27">
        <v>206.97846699999999</v>
      </c>
      <c r="DG276" s="27">
        <v>206.98158900000001</v>
      </c>
    </row>
    <row r="277" spans="1:114" x14ac:dyDescent="0.25">
      <c r="A277" s="8" t="s">
        <v>258</v>
      </c>
      <c r="B277" s="101">
        <v>27</v>
      </c>
      <c r="C277" s="60">
        <v>58</v>
      </c>
      <c r="D277" s="106">
        <v>4.0780530503838355</v>
      </c>
      <c r="E277" s="106">
        <f t="shared" si="2"/>
        <v>5.6030104933569485</v>
      </c>
      <c r="H277" s="43"/>
      <c r="I277" s="43"/>
      <c r="J277" s="43"/>
      <c r="K277" s="43"/>
      <c r="R277" s="43"/>
      <c r="S277" s="43"/>
      <c r="T277" s="43"/>
      <c r="Z277" s="16" t="s">
        <v>483</v>
      </c>
      <c r="DE277" s="27">
        <v>207.976641</v>
      </c>
      <c r="DF277" s="27">
        <v>207.97973300000001</v>
      </c>
      <c r="DG277" s="27">
        <v>207.98124000000001</v>
      </c>
    </row>
    <row r="278" spans="1:114" x14ac:dyDescent="0.25">
      <c r="A278" s="8" t="s">
        <v>258</v>
      </c>
      <c r="B278" s="101">
        <v>27</v>
      </c>
      <c r="C278" s="60">
        <v>59</v>
      </c>
      <c r="D278" s="106">
        <v>2.6244883346982881</v>
      </c>
      <c r="E278" s="106">
        <f t="shared" si="2"/>
        <v>5.5780034769865452</v>
      </c>
      <c r="H278" s="43"/>
      <c r="I278" s="43"/>
      <c r="J278" s="43"/>
      <c r="K278" s="43"/>
      <c r="R278" s="43"/>
      <c r="S278" s="43"/>
      <c r="T278" s="43"/>
      <c r="Z278" s="16" t="s">
        <v>484</v>
      </c>
      <c r="DF278" s="27">
        <v>208.980388</v>
      </c>
      <c r="DG278" s="27">
        <v>208.98242200000001</v>
      </c>
      <c r="DH278" s="27">
        <v>208.986165</v>
      </c>
    </row>
    <row r="279" spans="1:114" x14ac:dyDescent="0.25">
      <c r="A279" s="8" t="s">
        <v>258</v>
      </c>
      <c r="B279" s="101">
        <v>27</v>
      </c>
      <c r="C279" s="60">
        <v>60</v>
      </c>
      <c r="D279" s="106">
        <v>6.5140208703955507</v>
      </c>
      <c r="E279" s="106">
        <f t="shared" si="2"/>
        <v>5.5534973388782953</v>
      </c>
      <c r="H279" s="43"/>
      <c r="I279" s="43"/>
      <c r="J279" s="43"/>
      <c r="K279" s="43"/>
      <c r="R279" s="43"/>
      <c r="S279" s="43"/>
      <c r="T279" s="43"/>
      <c r="Z279" s="16" t="s">
        <v>485</v>
      </c>
      <c r="DE279" s="27">
        <v>209.98417799999999</v>
      </c>
      <c r="DF279" s="27">
        <v>209.98410999999999</v>
      </c>
      <c r="DG279" s="27">
        <v>209.98286400000001</v>
      </c>
      <c r="DH279" s="27">
        <v>209.987143</v>
      </c>
      <c r="DI279" s="27">
        <v>209.98968600000001</v>
      </c>
    </row>
    <row r="280" spans="1:114" x14ac:dyDescent="0.25">
      <c r="A280" s="8" t="s">
        <v>258</v>
      </c>
      <c r="B280" s="101">
        <v>27</v>
      </c>
      <c r="C280" s="60">
        <v>61</v>
      </c>
      <c r="D280" s="106">
        <v>5.0186422907137196</v>
      </c>
      <c r="E280" s="106">
        <f t="shared" si="2"/>
        <v>5.5294741857546041</v>
      </c>
      <c r="H280" s="43"/>
      <c r="I280" s="43"/>
      <c r="J280" s="43"/>
      <c r="K280" s="43"/>
      <c r="R280" s="43"/>
      <c r="S280" s="43"/>
      <c r="T280" s="43"/>
      <c r="Z280" s="16" t="s">
        <v>486</v>
      </c>
      <c r="DF280" s="27">
        <v>210.98726300000001</v>
      </c>
      <c r="DG280" s="27">
        <v>210.98664099999999</v>
      </c>
      <c r="DH280" s="27">
        <v>210.98749000000001</v>
      </c>
      <c r="DI280" s="27">
        <v>210.99059500000001</v>
      </c>
      <c r="DJ280" s="27">
        <v>210.99547000000001</v>
      </c>
    </row>
    <row r="281" spans="1:114" x14ac:dyDescent="0.25">
      <c r="A281" s="8" t="s">
        <v>259</v>
      </c>
      <c r="B281" s="101">
        <v>28</v>
      </c>
      <c r="C281" s="60">
        <v>61</v>
      </c>
      <c r="D281" s="106">
        <v>1.4544740714492861</v>
      </c>
      <c r="E281" s="106">
        <f t="shared" si="2"/>
        <v>5.7342695259677381</v>
      </c>
      <c r="H281" s="43"/>
      <c r="I281" s="43"/>
      <c r="J281" s="43"/>
      <c r="K281" s="43"/>
      <c r="R281" s="43"/>
      <c r="S281" s="43"/>
      <c r="T281" s="43"/>
      <c r="Z281" s="16" t="s">
        <v>487</v>
      </c>
      <c r="DH281" s="27">
        <v>211.99074100000001</v>
      </c>
      <c r="DI281" s="27">
        <v>211.99069700000001</v>
      </c>
      <c r="DJ281" s="27">
        <v>211.99603999999999</v>
      </c>
    </row>
    <row r="282" spans="1:114" x14ac:dyDescent="0.25">
      <c r="A282" s="8" t="s">
        <v>259</v>
      </c>
      <c r="B282" s="101">
        <v>28</v>
      </c>
      <c r="C282" s="60">
        <v>63</v>
      </c>
      <c r="D282" s="106">
        <v>3.76562123859402</v>
      </c>
      <c r="E282" s="106">
        <f t="shared" si="2"/>
        <v>5.6858767995596837</v>
      </c>
      <c r="H282" s="43"/>
      <c r="I282" s="43"/>
      <c r="J282" s="43"/>
      <c r="K282" s="43"/>
      <c r="R282" s="43"/>
      <c r="S282" s="43"/>
      <c r="T282" s="43"/>
      <c r="Z282" s="16" t="s">
        <v>488</v>
      </c>
      <c r="DH282" s="27">
        <v>212.99292600000001</v>
      </c>
    </row>
    <row r="283" spans="1:114" x14ac:dyDescent="0.25">
      <c r="A283" s="8" t="s">
        <v>259</v>
      </c>
      <c r="B283" s="101">
        <v>28</v>
      </c>
      <c r="C283" s="60">
        <v>64</v>
      </c>
      <c r="D283" s="106">
        <v>2.022630104481947</v>
      </c>
      <c r="E283" s="106">
        <f t="shared" si="2"/>
        <v>5.6623643546696059</v>
      </c>
      <c r="H283" s="43"/>
      <c r="I283" s="43"/>
      <c r="J283" s="43"/>
      <c r="K283" s="43"/>
      <c r="R283" s="43"/>
      <c r="S283" s="43"/>
      <c r="T283" s="43"/>
      <c r="Z283" s="16" t="s">
        <v>489</v>
      </c>
      <c r="DH283" s="27">
        <v>213.996362</v>
      </c>
    </row>
    <row r="284" spans="1:114" x14ac:dyDescent="0.25">
      <c r="A284" s="8" t="s">
        <v>260</v>
      </c>
      <c r="B284" s="101">
        <v>29</v>
      </c>
      <c r="C284" s="60">
        <v>62</v>
      </c>
      <c r="D284" s="106">
        <v>2.0697911823549116</v>
      </c>
      <c r="E284" s="106">
        <f t="shared" si="2"/>
        <v>5.9137627448820247</v>
      </c>
      <c r="H284" s="43"/>
      <c r="I284" s="43"/>
      <c r="J284" s="43"/>
      <c r="K284" s="43"/>
      <c r="R284" s="43"/>
      <c r="S284" s="43"/>
      <c r="T284" s="43"/>
      <c r="Z284" s="16" t="s">
        <v>490</v>
      </c>
      <c r="DH284" s="27">
        <v>214.99864600000001</v>
      </c>
    </row>
    <row r="285" spans="1:114" x14ac:dyDescent="0.25">
      <c r="A285" s="8" t="s">
        <v>260</v>
      </c>
      <c r="B285" s="101">
        <v>29</v>
      </c>
      <c r="C285" s="60">
        <v>63</v>
      </c>
      <c r="D285" s="106">
        <v>0.30658284179969858</v>
      </c>
      <c r="E285" s="106">
        <f t="shared" si="2"/>
        <v>5.8889438281153863</v>
      </c>
      <c r="H285" s="43"/>
      <c r="I285" s="43"/>
      <c r="J285" s="43"/>
      <c r="K285" s="43"/>
      <c r="R285" s="43"/>
      <c r="S285" s="43"/>
      <c r="T285" s="43"/>
      <c r="Z285" s="16" t="s">
        <v>491</v>
      </c>
      <c r="DH285" s="27">
        <v>216.00240099999999</v>
      </c>
    </row>
    <row r="286" spans="1:114" x14ac:dyDescent="0.25">
      <c r="A286" s="8" t="s">
        <v>260</v>
      </c>
      <c r="B286" s="101">
        <v>29</v>
      </c>
      <c r="C286" s="60">
        <v>64</v>
      </c>
      <c r="D286" s="106">
        <v>4.2775494413127069</v>
      </c>
      <c r="E286" s="106">
        <f t="shared" si="2"/>
        <v>5.8645916530506632</v>
      </c>
      <c r="H286" s="43"/>
      <c r="I286" s="43"/>
      <c r="J286" s="43"/>
      <c r="K286" s="43"/>
      <c r="R286" s="43"/>
      <c r="S286" s="43"/>
      <c r="T286" s="43"/>
      <c r="Z286" s="16" t="s">
        <v>492</v>
      </c>
      <c r="DH286" s="27">
        <v>217.004704</v>
      </c>
    </row>
    <row r="287" spans="1:114" x14ac:dyDescent="0.25">
      <c r="A287" s="8" t="s">
        <v>260</v>
      </c>
      <c r="B287" s="101">
        <v>29</v>
      </c>
      <c r="C287" s="60">
        <v>65</v>
      </c>
      <c r="D287" s="106">
        <v>2.3471961205189027</v>
      </c>
      <c r="E287" s="106">
        <f t="shared" si="2"/>
        <v>5.8406905592726588</v>
      </c>
      <c r="H287" s="43"/>
      <c r="I287" s="43"/>
      <c r="J287" s="43"/>
      <c r="K287" s="43"/>
      <c r="R287" s="43"/>
      <c r="S287" s="43"/>
      <c r="T287" s="43"/>
      <c r="Z287" s="16" t="s">
        <v>493</v>
      </c>
      <c r="DH287" s="27">
        <v>218.00869499999999</v>
      </c>
    </row>
    <row r="288" spans="1:114" x14ac:dyDescent="0.25">
      <c r="A288" s="8" t="s">
        <v>260</v>
      </c>
      <c r="B288" s="101">
        <v>29</v>
      </c>
      <c r="C288" s="60">
        <v>66</v>
      </c>
      <c r="D288" s="106">
        <v>6.3352345730663995</v>
      </c>
      <c r="E288" s="106">
        <f t="shared" si="2"/>
        <v>5.8172256381964926</v>
      </c>
      <c r="H288" s="43"/>
      <c r="I288" s="43"/>
      <c r="J288" s="43"/>
      <c r="K288" s="43"/>
      <c r="R288" s="43"/>
      <c r="S288" s="43"/>
      <c r="T288" s="43"/>
      <c r="Z288" s="16" t="s">
        <v>494</v>
      </c>
      <c r="DH288" s="27">
        <v>219.01130000000001</v>
      </c>
      <c r="DI288" s="27">
        <v>219.009480102</v>
      </c>
    </row>
    <row r="289" spans="1:121" x14ac:dyDescent="0.25">
      <c r="A289" s="8" t="s">
        <v>260</v>
      </c>
      <c r="B289" s="101">
        <v>29</v>
      </c>
      <c r="C289" s="60">
        <v>67</v>
      </c>
      <c r="D289" s="106">
        <v>4.2750247664143828</v>
      </c>
      <c r="E289" s="106">
        <f t="shared" si="2"/>
        <v>5.7941826863755574</v>
      </c>
      <c r="H289" s="43"/>
      <c r="I289" s="43"/>
      <c r="J289" s="43"/>
      <c r="K289" s="43"/>
      <c r="R289" s="43"/>
      <c r="S289" s="43"/>
      <c r="T289" s="43"/>
      <c r="Z289" s="16" t="s">
        <v>495</v>
      </c>
      <c r="DI289" s="27">
        <v>220.01137800000001</v>
      </c>
    </row>
    <row r="290" spans="1:121" x14ac:dyDescent="0.25">
      <c r="A290" s="8" t="s">
        <v>261</v>
      </c>
      <c r="B290" s="101">
        <v>30</v>
      </c>
      <c r="C290" s="60">
        <v>65</v>
      </c>
      <c r="D290" s="106">
        <v>0.42311234092622457</v>
      </c>
      <c r="E290" s="106">
        <f t="shared" si="2"/>
        <v>6.0420936820061986</v>
      </c>
      <c r="H290" s="43"/>
      <c r="I290" s="43"/>
      <c r="J290" s="43"/>
      <c r="K290" s="43"/>
      <c r="R290" s="43"/>
      <c r="S290" s="43"/>
      <c r="T290" s="43"/>
      <c r="Z290" s="16" t="s">
        <v>496</v>
      </c>
      <c r="DI290" s="27">
        <v>221.01544000000001</v>
      </c>
    </row>
    <row r="291" spans="1:121" x14ac:dyDescent="0.25">
      <c r="A291" s="8" t="s">
        <v>261</v>
      </c>
      <c r="B291" s="101">
        <v>30</v>
      </c>
      <c r="C291" s="60">
        <v>67</v>
      </c>
      <c r="D291" s="106">
        <v>2.6993773263830914</v>
      </c>
      <c r="E291" s="106">
        <f t="shared" si="2"/>
        <v>5.9939820893540245</v>
      </c>
      <c r="H291" s="43"/>
      <c r="I291" s="43"/>
      <c r="J291" s="43"/>
      <c r="K291" s="43"/>
      <c r="R291" s="43"/>
      <c r="S291" s="43"/>
      <c r="T291" s="43"/>
      <c r="Z291" s="16" t="s">
        <v>497</v>
      </c>
      <c r="DI291" s="27">
        <v>222.01760999999999</v>
      </c>
      <c r="DJ291" s="27">
        <v>222.017539</v>
      </c>
    </row>
    <row r="292" spans="1:121" x14ac:dyDescent="0.25">
      <c r="A292" s="8" t="s">
        <v>261</v>
      </c>
      <c r="B292" s="101">
        <v>30</v>
      </c>
      <c r="C292" s="60">
        <v>68</v>
      </c>
      <c r="D292" s="106">
        <v>0.7666235616317042</v>
      </c>
      <c r="E292" s="106">
        <f t="shared" si="2"/>
        <v>5.9705670645000435</v>
      </c>
      <c r="H292" s="43"/>
      <c r="I292" s="43"/>
      <c r="J292" s="43"/>
      <c r="K292" s="43"/>
      <c r="R292" s="43"/>
      <c r="S292" s="43"/>
      <c r="T292" s="43"/>
      <c r="Z292" s="16" t="s">
        <v>498</v>
      </c>
      <c r="DJ292" s="27">
        <v>223.01975999999999</v>
      </c>
      <c r="DK292" s="27">
        <v>223.01853</v>
      </c>
      <c r="DL292" s="27">
        <v>223.01912999999999</v>
      </c>
    </row>
    <row r="293" spans="1:121" x14ac:dyDescent="0.25">
      <c r="A293" s="8" t="s">
        <v>261</v>
      </c>
      <c r="B293" s="101">
        <v>30</v>
      </c>
      <c r="C293" s="60">
        <v>69</v>
      </c>
      <c r="D293" s="106">
        <v>4.6045740118932192</v>
      </c>
      <c r="E293" s="106">
        <f t="shared" si="2"/>
        <v>5.9475611862622753</v>
      </c>
      <c r="H293" s="43"/>
      <c r="I293" s="43"/>
      <c r="J293" s="43"/>
      <c r="K293" s="43"/>
      <c r="R293" s="43"/>
      <c r="S293" s="43"/>
      <c r="T293" s="43"/>
      <c r="Z293" s="16" t="s">
        <v>499</v>
      </c>
      <c r="DJ293" s="27">
        <v>224.02331000000001</v>
      </c>
      <c r="DK293" s="27">
        <v>224.020196</v>
      </c>
    </row>
    <row r="294" spans="1:121" x14ac:dyDescent="0.25">
      <c r="A294" s="8" t="s">
        <v>261</v>
      </c>
      <c r="B294" s="101">
        <v>30</v>
      </c>
      <c r="C294" s="60">
        <v>70</v>
      </c>
      <c r="D294" s="106">
        <v>3.0468639036451282</v>
      </c>
      <c r="E294" s="106">
        <f t="shared" si="2"/>
        <v>5.9249516949940881</v>
      </c>
      <c r="H294" s="43"/>
      <c r="I294" s="43"/>
      <c r="J294" s="43"/>
      <c r="K294" s="43"/>
      <c r="R294" s="43"/>
      <c r="S294" s="43"/>
      <c r="T294" s="43"/>
      <c r="Z294" s="16" t="s">
        <v>500</v>
      </c>
      <c r="DK294" s="27">
        <v>225.023604199</v>
      </c>
      <c r="DL294" s="27">
        <v>225.02323000000001</v>
      </c>
      <c r="DM294" s="27">
        <v>225.02395999999999</v>
      </c>
    </row>
    <row r="295" spans="1:121" x14ac:dyDescent="0.25">
      <c r="A295" s="8" t="s">
        <v>262</v>
      </c>
      <c r="B295" s="101">
        <v>31</v>
      </c>
      <c r="C295" s="60">
        <v>66</v>
      </c>
      <c r="D295" s="106">
        <v>1.5941406463374184</v>
      </c>
      <c r="E295" s="106">
        <f t="shared" si="2"/>
        <v>6.2184136132445262</v>
      </c>
      <c r="H295" s="43"/>
      <c r="I295" s="43"/>
      <c r="J295" s="43"/>
      <c r="K295" s="43"/>
      <c r="R295" s="43"/>
      <c r="S295" s="43"/>
      <c r="T295" s="43"/>
      <c r="Z295" s="16" t="s">
        <v>501</v>
      </c>
      <c r="DK295" s="27">
        <v>226.02544</v>
      </c>
      <c r="DL295" s="27">
        <v>226.02608799999999</v>
      </c>
      <c r="DM295" s="27">
        <v>226.02492000000001</v>
      </c>
      <c r="DN295" s="27">
        <v>226.02789000000001</v>
      </c>
    </row>
    <row r="296" spans="1:121" x14ac:dyDescent="0.25">
      <c r="A296" s="8" t="s">
        <v>262</v>
      </c>
      <c r="B296" s="101">
        <v>31</v>
      </c>
      <c r="C296" s="60">
        <v>68</v>
      </c>
      <c r="D296" s="106">
        <v>3.5872807400771864</v>
      </c>
      <c r="E296" s="106">
        <f t="shared" si="2"/>
        <v>6.169585966650045</v>
      </c>
      <c r="H296" s="43"/>
      <c r="I296" s="43"/>
      <c r="J296" s="43"/>
      <c r="K296" s="43"/>
      <c r="R296" s="43"/>
      <c r="S296" s="43"/>
      <c r="T296" s="43"/>
      <c r="Z296" s="16" t="s">
        <v>502</v>
      </c>
      <c r="DL296" s="27">
        <v>227.02777</v>
      </c>
      <c r="DM296" s="27">
        <v>227.02772999999999</v>
      </c>
      <c r="DN296" s="27">
        <v>227.02879999999999</v>
      </c>
    </row>
    <row r="297" spans="1:121" x14ac:dyDescent="0.25">
      <c r="A297" s="8" t="s">
        <v>262</v>
      </c>
      <c r="B297" s="101">
        <v>31</v>
      </c>
      <c r="C297" s="60">
        <v>69</v>
      </c>
      <c r="D297" s="106">
        <v>1.4704370435344696</v>
      </c>
      <c r="E297" s="106">
        <f t="shared" si="2"/>
        <v>6.1458132258043516</v>
      </c>
      <c r="H297" s="43"/>
      <c r="I297" s="43"/>
      <c r="J297" s="43"/>
      <c r="K297" s="43"/>
      <c r="R297" s="43"/>
      <c r="S297" s="43"/>
      <c r="T297" s="43"/>
      <c r="Z297" s="16" t="s">
        <v>503</v>
      </c>
      <c r="DL297" s="27">
        <v>228.03102000000001</v>
      </c>
      <c r="DM297" s="27">
        <v>228.02874</v>
      </c>
      <c r="DN297" s="27">
        <v>228.03101000000001</v>
      </c>
    </row>
    <row r="298" spans="1:121" x14ac:dyDescent="0.25">
      <c r="A298" s="8" t="s">
        <v>262</v>
      </c>
      <c r="B298" s="101">
        <v>31</v>
      </c>
      <c r="C298" s="60">
        <v>70</v>
      </c>
      <c r="D298" s="106">
        <v>5.3546435202105966</v>
      </c>
      <c r="E298" s="106">
        <f t="shared" si="2"/>
        <v>6.1224500848272241</v>
      </c>
      <c r="H298" s="43"/>
      <c r="I298" s="43"/>
      <c r="J298" s="43"/>
      <c r="K298" s="43"/>
      <c r="R298" s="43"/>
      <c r="S298" s="43"/>
      <c r="T298" s="43"/>
      <c r="Z298" s="16" t="s">
        <v>504</v>
      </c>
      <c r="DL298" s="27">
        <v>229.03298000000001</v>
      </c>
      <c r="DM298" s="27">
        <v>229.03178</v>
      </c>
      <c r="DN298" s="27">
        <v>229.03210000000001</v>
      </c>
    </row>
    <row r="299" spans="1:121" x14ac:dyDescent="0.25">
      <c r="A299" s="8" t="s">
        <v>262</v>
      </c>
      <c r="B299" s="101">
        <v>31</v>
      </c>
      <c r="C299" s="60">
        <v>71</v>
      </c>
      <c r="D299" s="106">
        <v>3.4661812472474525</v>
      </c>
      <c r="E299" s="106">
        <f t="shared" si="2"/>
        <v>6.0994839475106417</v>
      </c>
      <c r="H299" s="43"/>
      <c r="I299" s="43"/>
      <c r="J299" s="43"/>
      <c r="K299" s="43"/>
      <c r="R299" s="43"/>
      <c r="S299" s="43"/>
      <c r="T299" s="43"/>
      <c r="Z299" s="16" t="s">
        <v>505</v>
      </c>
      <c r="DM299" s="27">
        <v>230.03316000000001</v>
      </c>
      <c r="DN299" s="27">
        <v>230.03456</v>
      </c>
    </row>
    <row r="300" spans="1:121" x14ac:dyDescent="0.25">
      <c r="A300" s="8" t="s">
        <v>262</v>
      </c>
      <c r="B300" s="101">
        <v>31</v>
      </c>
      <c r="C300" s="60">
        <v>72</v>
      </c>
      <c r="D300" s="106">
        <v>7.6815249617976855</v>
      </c>
      <c r="E300" s="106">
        <f t="shared" si="2"/>
        <v>6.0769027723684728</v>
      </c>
      <c r="H300" s="43"/>
      <c r="I300" s="43"/>
      <c r="J300" s="43"/>
      <c r="K300" s="43"/>
      <c r="R300" s="43"/>
      <c r="S300" s="43"/>
      <c r="T300" s="43"/>
      <c r="Z300" s="16" t="s">
        <v>506</v>
      </c>
      <c r="DM300" s="27">
        <v>231.03629856399999</v>
      </c>
      <c r="DN300" s="27">
        <v>231.0359</v>
      </c>
      <c r="DO300" s="27">
        <v>231.03630000000001</v>
      </c>
      <c r="DP300" s="27">
        <v>231.03829999999999</v>
      </c>
    </row>
    <row r="301" spans="1:121" x14ac:dyDescent="0.25">
      <c r="A301" s="8" t="s">
        <v>262</v>
      </c>
      <c r="B301" s="101">
        <v>31</v>
      </c>
      <c r="C301" s="60">
        <v>73</v>
      </c>
      <c r="D301" s="106">
        <v>5.2607801730132344</v>
      </c>
      <c r="E301" s="106">
        <f t="shared" si="2"/>
        <v>6.0546950410030282</v>
      </c>
      <c r="H301" s="43"/>
      <c r="I301" s="43"/>
      <c r="J301" s="43"/>
      <c r="K301" s="43"/>
      <c r="R301" s="43"/>
      <c r="S301" s="43"/>
      <c r="T301" s="43"/>
      <c r="Z301" s="16" t="s">
        <v>507</v>
      </c>
      <c r="DM301" s="27">
        <v>232.03807</v>
      </c>
      <c r="DN301" s="27">
        <v>232.03857600000001</v>
      </c>
      <c r="DO301" s="27">
        <v>232.03715</v>
      </c>
      <c r="DP301" s="27">
        <v>232.04004</v>
      </c>
    </row>
    <row r="302" spans="1:121" x14ac:dyDescent="0.25">
      <c r="A302" s="8" t="s">
        <v>263</v>
      </c>
      <c r="B302" s="101">
        <v>32</v>
      </c>
      <c r="C302" s="60">
        <v>71</v>
      </c>
      <c r="D302" s="106">
        <v>1.6855820735486136</v>
      </c>
      <c r="E302" s="106">
        <f t="shared" si="2"/>
        <v>6.2962414942045326</v>
      </c>
      <c r="H302" s="43"/>
      <c r="I302" s="43"/>
      <c r="J302" s="43"/>
      <c r="K302" s="43"/>
      <c r="R302" s="43"/>
      <c r="S302" s="43"/>
      <c r="T302" s="43"/>
      <c r="Z302" s="16" t="s">
        <v>508</v>
      </c>
      <c r="DN302" s="27">
        <v>233.040243702</v>
      </c>
      <c r="DO302" s="27">
        <v>233.03964999999999</v>
      </c>
      <c r="DP302" s="27">
        <v>233.04079999999999</v>
      </c>
    </row>
    <row r="303" spans="1:121" x14ac:dyDescent="0.25">
      <c r="A303" s="8" t="s">
        <v>263</v>
      </c>
      <c r="B303" s="101">
        <v>32</v>
      </c>
      <c r="C303" s="60">
        <v>73</v>
      </c>
      <c r="D303" s="106">
        <v>3.3576404509605786</v>
      </c>
      <c r="E303" s="106">
        <f t="shared" si="2"/>
        <v>6.2500077842611903</v>
      </c>
      <c r="H303" s="43"/>
      <c r="I303" s="43"/>
      <c r="J303" s="43"/>
      <c r="K303" s="43"/>
      <c r="R303" s="43"/>
      <c r="S303" s="43"/>
      <c r="T303" s="43"/>
      <c r="Z303" s="16" t="s">
        <v>509</v>
      </c>
      <c r="DN303" s="27">
        <v>234.043316</v>
      </c>
      <c r="DO303" s="27">
        <v>234.04097999999999</v>
      </c>
      <c r="DP303" s="27">
        <v>234.042888</v>
      </c>
    </row>
    <row r="304" spans="1:121" x14ac:dyDescent="0.25">
      <c r="A304" s="8" t="s">
        <v>263</v>
      </c>
      <c r="B304" s="101">
        <v>32</v>
      </c>
      <c r="C304" s="60">
        <v>74</v>
      </c>
      <c r="D304" s="106">
        <v>1.132198416161099</v>
      </c>
      <c r="E304" s="106">
        <f t="shared" si="2"/>
        <v>6.2274577844401735</v>
      </c>
      <c r="H304" s="43"/>
      <c r="I304" s="43"/>
      <c r="J304" s="43"/>
      <c r="K304" s="43"/>
      <c r="R304" s="43"/>
      <c r="S304" s="43"/>
      <c r="T304" s="43"/>
      <c r="Z304" s="16" t="s">
        <v>510</v>
      </c>
      <c r="DN304" s="27">
        <v>235.04543000000001</v>
      </c>
      <c r="DO304" s="27">
        <v>235.04393999999999</v>
      </c>
      <c r="DP304" s="27">
        <v>235.04408000000001</v>
      </c>
      <c r="DQ304" s="27">
        <v>234.04526999999999</v>
      </c>
    </row>
    <row r="305" spans="1:121" x14ac:dyDescent="0.25">
      <c r="A305" s="8" t="s">
        <v>263</v>
      </c>
      <c r="B305" s="101">
        <v>32</v>
      </c>
      <c r="C305" s="60">
        <v>75</v>
      </c>
      <c r="D305" s="106">
        <v>4.8787139900218204</v>
      </c>
      <c r="E305" s="106">
        <f t="shared" si="2"/>
        <v>6.2052709955156864</v>
      </c>
      <c r="H305" s="43"/>
      <c r="I305" s="43"/>
      <c r="J305" s="43"/>
      <c r="K305" s="43"/>
      <c r="R305" s="43"/>
      <c r="S305" s="43"/>
      <c r="T305" s="43"/>
      <c r="Z305" s="16" t="s">
        <v>511</v>
      </c>
      <c r="DO305" s="27">
        <v>236.04558</v>
      </c>
      <c r="DP305" s="27">
        <v>236.04661999999999</v>
      </c>
      <c r="DQ305" s="27">
        <v>236.046043</v>
      </c>
    </row>
    <row r="306" spans="1:121" x14ac:dyDescent="0.25">
      <c r="A306" s="8" t="s">
        <v>263</v>
      </c>
      <c r="B306" s="101">
        <v>32</v>
      </c>
      <c r="C306" s="60">
        <v>76</v>
      </c>
      <c r="D306" s="106">
        <v>2.7797930215447697</v>
      </c>
      <c r="E306" s="106">
        <f t="shared" si="2"/>
        <v>6.1834369733354633</v>
      </c>
      <c r="H306" s="43"/>
      <c r="I306" s="43"/>
      <c r="J306" s="43"/>
      <c r="K306" s="43"/>
      <c r="R306" s="43"/>
      <c r="S306" s="43"/>
      <c r="T306" s="43"/>
      <c r="Z306" s="16" t="s">
        <v>512</v>
      </c>
      <c r="DO306" s="27">
        <v>237.04872642999999</v>
      </c>
      <c r="DP306" s="27">
        <v>237.04819000000001</v>
      </c>
      <c r="DQ306" s="27">
        <v>237.04840200000001</v>
      </c>
    </row>
    <row r="307" spans="1:121" x14ac:dyDescent="0.25">
      <c r="A307" s="8" t="s">
        <v>264</v>
      </c>
      <c r="B307" s="101">
        <v>33</v>
      </c>
      <c r="C307" s="60">
        <v>72</v>
      </c>
      <c r="D307" s="106">
        <v>3.3649716008105686</v>
      </c>
      <c r="E307" s="106">
        <f t="shared" si="2"/>
        <v>6.4689610157470838</v>
      </c>
      <c r="H307" s="43"/>
      <c r="I307" s="43"/>
      <c r="J307" s="43"/>
      <c r="K307" s="43"/>
      <c r="R307" s="43"/>
      <c r="S307" s="43"/>
      <c r="T307" s="43"/>
      <c r="Z307" s="16" t="s">
        <v>513</v>
      </c>
      <c r="DO307" s="27">
        <v>238.05081999999999</v>
      </c>
      <c r="DP307" s="27">
        <v>238.050942091</v>
      </c>
      <c r="DQ307" s="27">
        <v>238.04955522700001</v>
      </c>
    </row>
    <row r="308" spans="1:121" x14ac:dyDescent="0.25">
      <c r="A308" s="8" t="s">
        <v>264</v>
      </c>
      <c r="B308" s="101">
        <v>33</v>
      </c>
      <c r="C308" s="60">
        <v>73</v>
      </c>
      <c r="D308" s="106">
        <v>0.95274299412191454</v>
      </c>
      <c r="E308" s="106">
        <f t="shared" si="2"/>
        <v>6.4453205275193524</v>
      </c>
      <c r="H308" s="43"/>
      <c r="I308" s="43"/>
      <c r="J308" s="43"/>
      <c r="K308" s="43"/>
      <c r="R308" s="43"/>
      <c r="S308" s="43"/>
      <c r="T308" s="43"/>
      <c r="Z308" s="16" t="s">
        <v>514</v>
      </c>
      <c r="DO308" s="27">
        <v>239.05429100000001</v>
      </c>
      <c r="DP308" s="27">
        <v>239.052932196</v>
      </c>
      <c r="DQ308" s="27">
        <v>239.05215778100001</v>
      </c>
    </row>
    <row r="309" spans="1:121" x14ac:dyDescent="0.25">
      <c r="A309" s="8" t="s">
        <v>264</v>
      </c>
      <c r="B309" s="101">
        <v>33</v>
      </c>
      <c r="C309" s="60">
        <v>74</v>
      </c>
      <c r="D309" s="106">
        <v>5.0532835927640507</v>
      </c>
      <c r="E309" s="106">
        <f t="shared" si="2"/>
        <v>6.4220658402039295</v>
      </c>
      <c r="H309" s="43"/>
      <c r="I309" s="43"/>
      <c r="J309" s="43"/>
      <c r="K309" s="43"/>
      <c r="R309" s="43"/>
      <c r="S309" s="43"/>
      <c r="T309" s="43"/>
      <c r="Z309" s="16" t="s">
        <v>515</v>
      </c>
      <c r="DP309" s="27">
        <v>240.05605</v>
      </c>
      <c r="DQ309" s="27">
        <v>240.05380865699999</v>
      </c>
    </row>
    <row r="310" spans="1:121" x14ac:dyDescent="0.25">
      <c r="A310" s="8" t="s">
        <v>264</v>
      </c>
      <c r="B310" s="101">
        <v>33</v>
      </c>
      <c r="C310" s="60">
        <v>75</v>
      </c>
      <c r="D310" s="106">
        <v>2.8376027994288235</v>
      </c>
      <c r="E310" s="106">
        <f t="shared" si="2"/>
        <v>6.3991857141255508</v>
      </c>
      <c r="H310" s="43"/>
      <c r="I310" s="43"/>
      <c r="J310" s="43"/>
      <c r="K310" s="43"/>
      <c r="R310" s="43"/>
      <c r="S310" s="43"/>
      <c r="T310" s="43"/>
      <c r="Z310" s="27">
        <v>241</v>
      </c>
    </row>
    <row r="311" spans="1:121" x14ac:dyDescent="0.25">
      <c r="A311" s="8" t="s">
        <v>264</v>
      </c>
      <c r="B311" s="101">
        <v>33</v>
      </c>
      <c r="C311" s="60">
        <v>76</v>
      </c>
      <c r="D311" s="106">
        <v>6.6641394444408881</v>
      </c>
      <c r="E311" s="106">
        <f t="shared" si="2"/>
        <v>6.3766693787521964</v>
      </c>
      <c r="H311" s="43"/>
      <c r="I311" s="43"/>
      <c r="J311" s="43"/>
      <c r="K311" s="43"/>
      <c r="R311" s="43"/>
      <c r="S311" s="43"/>
      <c r="T311" s="43"/>
    </row>
    <row r="312" spans="1:121" x14ac:dyDescent="0.25">
      <c r="A312" s="8" t="s">
        <v>264</v>
      </c>
      <c r="B312" s="101">
        <v>33</v>
      </c>
      <c r="C312" s="60">
        <v>77</v>
      </c>
      <c r="D312" s="106">
        <v>4.3926324458242654</v>
      </c>
      <c r="E312" s="106">
        <f t="shared" si="2"/>
        <v>6.3545065073240368</v>
      </c>
      <c r="H312" s="43"/>
      <c r="I312" s="43"/>
      <c r="J312" s="43"/>
      <c r="K312" s="43"/>
      <c r="R312" s="43"/>
      <c r="S312" s="43"/>
      <c r="T312" s="43"/>
    </row>
    <row r="313" spans="1:121" x14ac:dyDescent="0.25">
      <c r="A313" s="8" t="s">
        <v>264</v>
      </c>
      <c r="B313" s="102">
        <v>33</v>
      </c>
      <c r="C313" s="15">
        <v>78</v>
      </c>
      <c r="D313" s="83">
        <v>7.9812517624175294</v>
      </c>
      <c r="E313" s="106">
        <f t="shared" si="2"/>
        <v>6.332687193160365</v>
      </c>
      <c r="K313" s="43"/>
      <c r="R313" s="43"/>
      <c r="S313" s="43"/>
      <c r="T313" s="43"/>
    </row>
    <row r="314" spans="1:121" x14ac:dyDescent="0.25">
      <c r="A314" s="8" t="s">
        <v>264</v>
      </c>
      <c r="B314" s="102">
        <v>33</v>
      </c>
      <c r="C314" s="15">
        <v>79</v>
      </c>
      <c r="D314" s="83">
        <v>5.9002041995000845</v>
      </c>
      <c r="E314" s="106">
        <f t="shared" si="2"/>
        <v>6.3112019275137605</v>
      </c>
      <c r="K314" s="43"/>
      <c r="R314" s="43"/>
      <c r="S314" s="43"/>
      <c r="T314" s="43"/>
    </row>
    <row r="315" spans="1:121" x14ac:dyDescent="0.25">
      <c r="A315" s="8" t="s">
        <v>265</v>
      </c>
      <c r="B315" s="102">
        <v>34</v>
      </c>
      <c r="C315" s="15">
        <v>75</v>
      </c>
      <c r="D315" s="83">
        <v>0.67950381169207896</v>
      </c>
      <c r="E315" s="106">
        <f t="shared" si="2"/>
        <v>6.5931004327354161</v>
      </c>
      <c r="K315" s="43"/>
      <c r="R315" s="43"/>
      <c r="S315" s="43"/>
      <c r="T315" s="43"/>
    </row>
    <row r="316" spans="1:121" x14ac:dyDescent="0.25">
      <c r="A316" s="8" t="s">
        <v>265</v>
      </c>
      <c r="B316" s="102">
        <v>34</v>
      </c>
      <c r="C316" s="15">
        <v>77</v>
      </c>
      <c r="D316" s="83">
        <v>2.3370494195080305</v>
      </c>
      <c r="E316" s="106">
        <f t="shared" si="2"/>
        <v>6.5470673105762804</v>
      </c>
      <c r="K316" s="43"/>
      <c r="R316" s="43"/>
      <c r="S316" s="43"/>
      <c r="T316" s="43"/>
    </row>
    <row r="317" spans="1:121" x14ac:dyDescent="0.25">
      <c r="A317" s="8" t="s">
        <v>265</v>
      </c>
      <c r="B317" s="102">
        <v>34</v>
      </c>
      <c r="C317" s="15">
        <v>78</v>
      </c>
      <c r="D317" s="83">
        <v>9.9600790274047377E-2</v>
      </c>
      <c r="E317" s="106">
        <f t="shared" si="2"/>
        <v>6.524586805074315</v>
      </c>
      <c r="K317" s="43"/>
      <c r="R317" s="43"/>
      <c r="S317" s="43"/>
      <c r="T317" s="43"/>
    </row>
    <row r="318" spans="1:121" x14ac:dyDescent="0.25">
      <c r="A318" s="8" t="s">
        <v>265</v>
      </c>
      <c r="B318" s="102">
        <v>34</v>
      </c>
      <c r="C318" s="15">
        <v>79</v>
      </c>
      <c r="D318" s="83">
        <v>3.8532266176654604</v>
      </c>
      <c r="E318" s="106">
        <f t="shared" si="2"/>
        <v>6.5024504707717536</v>
      </c>
      <c r="K318" s="43"/>
      <c r="R318" s="43"/>
      <c r="S318" s="43"/>
      <c r="T318" s="43"/>
    </row>
    <row r="319" spans="1:121" x14ac:dyDescent="0.25">
      <c r="A319" s="8" t="s">
        <v>265</v>
      </c>
      <c r="B319" s="102">
        <v>34</v>
      </c>
      <c r="C319" s="15">
        <v>80</v>
      </c>
      <c r="D319" s="83">
        <v>1.8304810806825884</v>
      </c>
      <c r="E319" s="106">
        <f t="shared" si="2"/>
        <v>6.480648899423759</v>
      </c>
      <c r="K319" s="43"/>
      <c r="R319" s="43"/>
      <c r="S319" s="43"/>
      <c r="T319" s="43"/>
    </row>
    <row r="320" spans="1:121" x14ac:dyDescent="0.25">
      <c r="A320" s="8" t="s">
        <v>265</v>
      </c>
      <c r="B320" s="102">
        <v>34</v>
      </c>
      <c r="C320" s="15">
        <v>81</v>
      </c>
      <c r="D320" s="83">
        <v>5.2857164998495918</v>
      </c>
      <c r="E320" s="106">
        <f t="shared" si="2"/>
        <v>6.4591730514461494</v>
      </c>
      <c r="K320" s="43"/>
      <c r="R320" s="43"/>
      <c r="S320" s="43"/>
      <c r="T320" s="43"/>
    </row>
    <row r="321" spans="1:20" x14ac:dyDescent="0.25">
      <c r="A321" s="8" t="s">
        <v>265</v>
      </c>
      <c r="B321" s="102">
        <v>34</v>
      </c>
      <c r="C321" s="15">
        <v>82</v>
      </c>
      <c r="D321" s="83">
        <v>3.6164629672788298</v>
      </c>
      <c r="E321" s="106">
        <f t="shared" si="2"/>
        <v>6.4380142371872076</v>
      </c>
      <c r="K321" s="43"/>
      <c r="R321" s="43"/>
      <c r="S321" s="43"/>
      <c r="T321" s="43"/>
    </row>
    <row r="322" spans="1:20" x14ac:dyDescent="0.25">
      <c r="A322" s="8" t="s">
        <v>266</v>
      </c>
      <c r="B322" s="102">
        <v>35</v>
      </c>
      <c r="C322" s="15">
        <v>76</v>
      </c>
      <c r="D322" s="83">
        <v>2.4977191554522338</v>
      </c>
      <c r="E322" s="106">
        <f t="shared" si="2"/>
        <v>6.7631341895856627</v>
      </c>
      <c r="K322" s="43"/>
      <c r="R322" s="43"/>
      <c r="S322" s="43"/>
      <c r="T322" s="43"/>
    </row>
    <row r="323" spans="1:20" x14ac:dyDescent="0.25">
      <c r="A323" s="8" t="s">
        <v>266</v>
      </c>
      <c r="B323" s="102">
        <v>35</v>
      </c>
      <c r="C323" s="15">
        <v>77</v>
      </c>
      <c r="D323" s="83">
        <v>0.68499333655249672</v>
      </c>
      <c r="E323" s="106">
        <f t="shared" si="2"/>
        <v>6.7396281138285241</v>
      </c>
      <c r="K323" s="43"/>
      <c r="R323" s="43"/>
      <c r="S323" s="43"/>
      <c r="T323" s="43"/>
    </row>
    <row r="324" spans="1:20" x14ac:dyDescent="0.25">
      <c r="A324" s="8" t="s">
        <v>266</v>
      </c>
      <c r="B324" s="102">
        <v>35</v>
      </c>
      <c r="C324" s="15">
        <v>78</v>
      </c>
      <c r="D324" s="83">
        <v>4.3955276097274742</v>
      </c>
      <c r="E324" s="106">
        <f t="shared" si="2"/>
        <v>6.7164864169882659</v>
      </c>
      <c r="K324" s="43"/>
      <c r="R324" s="43"/>
      <c r="S324" s="43"/>
      <c r="T324" s="43"/>
    </row>
    <row r="325" spans="1:20" x14ac:dyDescent="0.25">
      <c r="A325" s="8" t="s">
        <v>266</v>
      </c>
      <c r="B325" s="102">
        <v>35</v>
      </c>
      <c r="C325" s="15">
        <v>79</v>
      </c>
      <c r="D325" s="83">
        <v>2.0706169656855646</v>
      </c>
      <c r="E325" s="106">
        <f t="shared" si="2"/>
        <v>6.6936990140297459</v>
      </c>
      <c r="K325" s="43"/>
      <c r="R325" s="43"/>
      <c r="S325" s="43"/>
      <c r="T325" s="43"/>
    </row>
    <row r="326" spans="1:20" x14ac:dyDescent="0.25">
      <c r="A326" s="8" t="s">
        <v>266</v>
      </c>
      <c r="B326" s="102">
        <v>35</v>
      </c>
      <c r="C326" s="15">
        <v>80</v>
      </c>
      <c r="D326" s="83">
        <v>5.7057762746838732</v>
      </c>
      <c r="E326" s="106">
        <f t="shared" si="2"/>
        <v>6.6712562199950458</v>
      </c>
      <c r="K326" s="43"/>
      <c r="R326" s="43"/>
      <c r="S326" s="43"/>
      <c r="T326" s="43"/>
    </row>
    <row r="327" spans="1:20" x14ac:dyDescent="0.25">
      <c r="A327" s="8" t="s">
        <v>266</v>
      </c>
      <c r="B327" s="102">
        <v>35</v>
      </c>
      <c r="C327" s="15">
        <v>81</v>
      </c>
      <c r="D327" s="83">
        <v>3.4356340032954522</v>
      </c>
      <c r="E327" s="106">
        <f t="shared" si="2"/>
        <v>6.6491487294298599</v>
      </c>
      <c r="K327" s="43"/>
      <c r="R327" s="43"/>
      <c r="S327" s="43"/>
      <c r="T327" s="43"/>
    </row>
    <row r="328" spans="1:20" x14ac:dyDescent="0.25">
      <c r="A328" s="8" t="s">
        <v>266</v>
      </c>
      <c r="B328" s="102">
        <v>35</v>
      </c>
      <c r="C328" s="15">
        <v>82</v>
      </c>
      <c r="D328" s="83">
        <v>6.7893836964553778</v>
      </c>
      <c r="E328" s="106">
        <f t="shared" si="2"/>
        <v>6.6273675971044783</v>
      </c>
      <c r="K328" s="43"/>
      <c r="R328" s="43"/>
      <c r="S328" s="43"/>
      <c r="T328" s="43"/>
    </row>
    <row r="329" spans="1:20" x14ac:dyDescent="0.25">
      <c r="A329" s="8" t="s">
        <v>266</v>
      </c>
      <c r="B329" s="102">
        <v>35</v>
      </c>
      <c r="C329" s="15">
        <v>83</v>
      </c>
      <c r="D329" s="83">
        <v>4.6624123199393397</v>
      </c>
      <c r="E329" s="106">
        <f t="shared" si="2"/>
        <v>6.6059042199333051</v>
      </c>
      <c r="K329" s="43"/>
      <c r="R329" s="43"/>
      <c r="S329" s="43"/>
      <c r="T329" s="43"/>
    </row>
    <row r="330" spans="1:20" x14ac:dyDescent="0.25">
      <c r="A330" s="8" t="s">
        <v>266</v>
      </c>
      <c r="B330" s="102">
        <v>35</v>
      </c>
      <c r="C330" s="15">
        <v>84</v>
      </c>
      <c r="D330" s="83">
        <v>8.3640133073120886</v>
      </c>
      <c r="E330" s="106">
        <f t="shared" ref="E330:E393" si="3">B330/(1+C330^0.33)</f>
        <v>6.5847503200051021</v>
      </c>
      <c r="K330" s="43"/>
      <c r="R330" s="43"/>
      <c r="S330" s="43"/>
      <c r="T330" s="43"/>
    </row>
    <row r="331" spans="1:20" x14ac:dyDescent="0.25">
      <c r="A331" s="8" t="s">
        <v>267</v>
      </c>
      <c r="B331" s="102">
        <v>36</v>
      </c>
      <c r="C331" s="15">
        <v>79</v>
      </c>
      <c r="D331" s="83">
        <v>9.4237396478836027E-2</v>
      </c>
      <c r="E331" s="106">
        <f t="shared" si="3"/>
        <v>6.884947557287739</v>
      </c>
      <c r="K331" s="43"/>
      <c r="R331" s="43"/>
      <c r="S331" s="43"/>
      <c r="T331" s="43"/>
    </row>
    <row r="332" spans="1:20" x14ac:dyDescent="0.25">
      <c r="A332" s="8" t="s">
        <v>267</v>
      </c>
      <c r="B332" s="102">
        <v>36</v>
      </c>
      <c r="C332" s="15">
        <v>81</v>
      </c>
      <c r="D332" s="83">
        <v>1.4363030391161626</v>
      </c>
      <c r="E332" s="106">
        <f t="shared" si="3"/>
        <v>6.8391244074135704</v>
      </c>
      <c r="K332" s="43"/>
      <c r="R332" s="43"/>
      <c r="S332" s="43"/>
      <c r="T332" s="43"/>
    </row>
    <row r="333" spans="1:20" x14ac:dyDescent="0.25">
      <c r="A333" s="8" t="s">
        <v>267</v>
      </c>
      <c r="B333" s="102">
        <v>36</v>
      </c>
      <c r="C333" s="15">
        <v>83</v>
      </c>
      <c r="D333" s="83">
        <v>2.7061786963451735</v>
      </c>
      <c r="E333" s="106">
        <f t="shared" si="3"/>
        <v>6.7946443405028276</v>
      </c>
      <c r="K333" s="43"/>
      <c r="R333" s="43"/>
      <c r="S333" s="43"/>
      <c r="T333" s="43"/>
    </row>
    <row r="334" spans="1:20" x14ac:dyDescent="0.25">
      <c r="A334" s="8" t="s">
        <v>267</v>
      </c>
      <c r="B334" s="102">
        <v>36</v>
      </c>
      <c r="C334" s="15">
        <v>84</v>
      </c>
      <c r="D334" s="83">
        <v>1.0157862833908411</v>
      </c>
      <c r="E334" s="106">
        <f t="shared" si="3"/>
        <v>6.7728860434338198</v>
      </c>
      <c r="K334" s="43"/>
      <c r="R334" s="43"/>
      <c r="S334" s="43"/>
      <c r="T334" s="43"/>
    </row>
    <row r="335" spans="1:20" x14ac:dyDescent="0.25">
      <c r="A335" s="8" t="s">
        <v>267</v>
      </c>
      <c r="B335" s="102">
        <v>36</v>
      </c>
      <c r="C335" s="15">
        <v>85</v>
      </c>
      <c r="D335" s="83">
        <v>4.3907387928130541</v>
      </c>
      <c r="E335" s="106">
        <f t="shared" si="3"/>
        <v>6.7514378694618973</v>
      </c>
      <c r="K335" s="43"/>
      <c r="R335" s="43"/>
      <c r="S335" s="43"/>
      <c r="T335" s="43"/>
    </row>
    <row r="336" spans="1:20" x14ac:dyDescent="0.25">
      <c r="A336" s="8" t="s">
        <v>267</v>
      </c>
      <c r="B336" s="102">
        <v>36</v>
      </c>
      <c r="C336" s="15">
        <v>86</v>
      </c>
      <c r="D336" s="83">
        <v>3.1792291960936243</v>
      </c>
      <c r="E336" s="106">
        <f t="shared" si="3"/>
        <v>6.7302919248933382</v>
      </c>
      <c r="K336" s="43"/>
      <c r="R336" s="43"/>
      <c r="S336" s="43"/>
      <c r="T336" s="43"/>
    </row>
    <row r="337" spans="1:20" x14ac:dyDescent="0.25">
      <c r="A337" s="8" t="s">
        <v>268</v>
      </c>
      <c r="B337" s="102">
        <v>37</v>
      </c>
      <c r="C337" s="15">
        <v>80</v>
      </c>
      <c r="D337" s="83">
        <v>1.9052279984037319</v>
      </c>
      <c r="E337" s="106">
        <f t="shared" si="3"/>
        <v>7.0524708611376195</v>
      </c>
      <c r="K337" s="43"/>
      <c r="R337" s="43"/>
      <c r="S337" s="43"/>
      <c r="T337" s="43"/>
    </row>
    <row r="338" spans="1:20" x14ac:dyDescent="0.25">
      <c r="A338" s="8" t="s">
        <v>268</v>
      </c>
      <c r="B338" s="102">
        <v>37</v>
      </c>
      <c r="C338" s="15">
        <v>82</v>
      </c>
      <c r="D338" s="83">
        <v>3.4898208411134033</v>
      </c>
      <c r="E338" s="106">
        <f t="shared" si="3"/>
        <v>7.0060743169390198</v>
      </c>
      <c r="K338" s="43"/>
      <c r="R338" s="43"/>
      <c r="S338" s="43"/>
      <c r="T338" s="43"/>
    </row>
    <row r="339" spans="1:20" x14ac:dyDescent="0.25">
      <c r="A339" s="8" t="s">
        <v>268</v>
      </c>
      <c r="B339" s="102">
        <v>37</v>
      </c>
      <c r="C339" s="15">
        <v>83</v>
      </c>
      <c r="D339" s="83">
        <v>1.4498863926430523</v>
      </c>
      <c r="E339" s="106">
        <f t="shared" si="3"/>
        <v>6.983384461072351</v>
      </c>
      <c r="K339" s="43"/>
      <c r="R339" s="43"/>
      <c r="S339" s="43"/>
      <c r="T339" s="43"/>
    </row>
    <row r="340" spans="1:20" x14ac:dyDescent="0.25">
      <c r="A340" s="8" t="s">
        <v>268</v>
      </c>
      <c r="B340" s="102">
        <v>37</v>
      </c>
      <c r="C340" s="15">
        <v>84</v>
      </c>
      <c r="D340" s="83">
        <v>4.5937783676253732</v>
      </c>
      <c r="E340" s="106">
        <f t="shared" si="3"/>
        <v>6.9610217668625367</v>
      </c>
      <c r="K340" s="43"/>
      <c r="R340" s="43"/>
      <c r="S340" s="43"/>
      <c r="T340" s="43"/>
    </row>
    <row r="341" spans="1:20" x14ac:dyDescent="0.25">
      <c r="A341" s="8" t="s">
        <v>268</v>
      </c>
      <c r="B341" s="102">
        <v>37</v>
      </c>
      <c r="C341" s="15">
        <v>85</v>
      </c>
      <c r="D341" s="83">
        <v>2.6399039721269508</v>
      </c>
      <c r="E341" s="106">
        <f t="shared" si="3"/>
        <v>6.9389778102802833</v>
      </c>
      <c r="K341" s="43"/>
      <c r="R341" s="43"/>
      <c r="S341" s="43"/>
      <c r="T341" s="43"/>
    </row>
    <row r="342" spans="1:20" x14ac:dyDescent="0.25">
      <c r="A342" s="8" t="s">
        <v>268</v>
      </c>
      <c r="B342" s="102">
        <v>37</v>
      </c>
      <c r="C342" s="15">
        <v>86</v>
      </c>
      <c r="D342" s="83">
        <v>5.4761453650862748</v>
      </c>
      <c r="E342" s="106">
        <f t="shared" si="3"/>
        <v>6.9172444783625977</v>
      </c>
      <c r="K342" s="43"/>
      <c r="R342" s="43"/>
      <c r="S342" s="43"/>
      <c r="T342" s="43"/>
    </row>
    <row r="343" spans="1:20" x14ac:dyDescent="0.25">
      <c r="A343" s="8" t="s">
        <v>268</v>
      </c>
      <c r="B343" s="102">
        <v>37</v>
      </c>
      <c r="C343" s="15">
        <v>87</v>
      </c>
      <c r="D343" s="83">
        <v>3.9778730997420486</v>
      </c>
      <c r="E343" s="106">
        <f t="shared" si="3"/>
        <v>6.8958139543132502</v>
      </c>
      <c r="K343" s="43"/>
      <c r="R343" s="43"/>
      <c r="S343" s="43"/>
      <c r="T343" s="43"/>
    </row>
    <row r="344" spans="1:20" x14ac:dyDescent="0.25">
      <c r="A344" s="8" t="s">
        <v>268</v>
      </c>
      <c r="B344" s="102">
        <v>37</v>
      </c>
      <c r="C344" s="15">
        <v>88</v>
      </c>
      <c r="D344" s="83">
        <v>8.9982467619004911</v>
      </c>
      <c r="E344" s="106">
        <f t="shared" si="3"/>
        <v>6.8746787034771435</v>
      </c>
      <c r="K344" s="43"/>
      <c r="R344" s="43"/>
      <c r="S344" s="43"/>
      <c r="T344" s="43"/>
    </row>
    <row r="345" spans="1:20" x14ac:dyDescent="0.25">
      <c r="A345" s="8" t="s">
        <v>269</v>
      </c>
      <c r="B345" s="102">
        <v>38</v>
      </c>
      <c r="C345" s="15">
        <v>85</v>
      </c>
      <c r="D345" s="83">
        <v>0.42791353170696744</v>
      </c>
      <c r="E345" s="106">
        <f t="shared" si="3"/>
        <v>7.1265177510986693</v>
      </c>
      <c r="K345" s="43"/>
      <c r="R345" s="43"/>
      <c r="S345" s="43"/>
      <c r="T345" s="43"/>
    </row>
    <row r="346" spans="1:20" x14ac:dyDescent="0.25">
      <c r="A346" s="8" t="s">
        <v>269</v>
      </c>
      <c r="B346" s="102">
        <v>38</v>
      </c>
      <c r="C346" s="15">
        <v>87</v>
      </c>
      <c r="D346" s="83">
        <v>1.840552283090541</v>
      </c>
      <c r="E346" s="106">
        <f t="shared" si="3"/>
        <v>7.0821873044298247</v>
      </c>
      <c r="K346" s="43"/>
      <c r="R346" s="43"/>
      <c r="S346" s="43"/>
      <c r="T346" s="43"/>
    </row>
    <row r="347" spans="1:20" x14ac:dyDescent="0.25">
      <c r="A347" s="8" t="s">
        <v>269</v>
      </c>
      <c r="B347" s="102">
        <v>38</v>
      </c>
      <c r="C347" s="15">
        <v>88</v>
      </c>
      <c r="D347" s="83">
        <v>6.4128026691871315E-2</v>
      </c>
      <c r="E347" s="106">
        <f t="shared" si="3"/>
        <v>7.0604808305981468</v>
      </c>
      <c r="K347" s="43"/>
      <c r="R347" s="43"/>
      <c r="S347" s="43"/>
      <c r="T347" s="43"/>
    </row>
    <row r="348" spans="1:20" x14ac:dyDescent="0.25">
      <c r="A348" s="8" t="s">
        <v>269</v>
      </c>
      <c r="B348" s="102">
        <v>38</v>
      </c>
      <c r="C348" s="15">
        <v>89</v>
      </c>
      <c r="D348" s="83">
        <v>5.1951861076830097</v>
      </c>
      <c r="E348" s="106">
        <f t="shared" si="3"/>
        <v>7.039070148239631</v>
      </c>
      <c r="K348" s="43"/>
      <c r="R348" s="43"/>
      <c r="S348" s="43"/>
      <c r="T348" s="43"/>
    </row>
    <row r="349" spans="1:20" x14ac:dyDescent="0.25">
      <c r="A349" s="8" t="s">
        <v>270</v>
      </c>
      <c r="B349" s="102">
        <v>39</v>
      </c>
      <c r="C349" s="15">
        <v>86</v>
      </c>
      <c r="D349" s="83">
        <v>2.4034083823026133</v>
      </c>
      <c r="E349" s="106">
        <f t="shared" si="3"/>
        <v>7.2911495853011168</v>
      </c>
      <c r="K349" s="43"/>
      <c r="R349" s="43"/>
      <c r="S349" s="43"/>
      <c r="T349" s="43"/>
    </row>
    <row r="350" spans="1:20" x14ac:dyDescent="0.25">
      <c r="A350" s="8" t="s">
        <v>270</v>
      </c>
      <c r="B350" s="102">
        <v>39</v>
      </c>
      <c r="C350" s="15">
        <v>87</v>
      </c>
      <c r="D350" s="83">
        <v>0.10028900272780544</v>
      </c>
      <c r="E350" s="106">
        <f t="shared" si="3"/>
        <v>7.2685606545463983</v>
      </c>
      <c r="K350" s="43"/>
      <c r="R350" s="43"/>
      <c r="S350" s="43"/>
      <c r="T350" s="43"/>
    </row>
    <row r="351" spans="1:20" x14ac:dyDescent="0.25">
      <c r="A351" s="8" t="s">
        <v>270</v>
      </c>
      <c r="B351" s="101">
        <v>39</v>
      </c>
      <c r="C351" s="60">
        <v>88</v>
      </c>
      <c r="D351" s="106">
        <v>3.0277153074340859</v>
      </c>
      <c r="E351" s="106">
        <f t="shared" si="3"/>
        <v>7.246282957719151</v>
      </c>
      <c r="H351" s="43"/>
      <c r="I351" s="43"/>
      <c r="J351" s="43"/>
      <c r="K351" s="43"/>
      <c r="R351" s="43"/>
      <c r="S351" s="43"/>
      <c r="T351" s="43"/>
    </row>
    <row r="352" spans="1:20" x14ac:dyDescent="0.25">
      <c r="A352" s="8" t="s">
        <v>270</v>
      </c>
      <c r="B352" s="101">
        <v>39</v>
      </c>
      <c r="C352" s="60">
        <v>89</v>
      </c>
      <c r="D352" s="106">
        <v>0.8601496056073662</v>
      </c>
      <c r="E352" s="106">
        <f t="shared" si="3"/>
        <v>7.2243088363512005</v>
      </c>
      <c r="H352" s="43"/>
      <c r="I352" s="43"/>
      <c r="J352" s="43"/>
      <c r="K352" s="43"/>
      <c r="R352" s="43"/>
      <c r="S352" s="43"/>
      <c r="T352" s="43"/>
    </row>
    <row r="353" spans="1:20" x14ac:dyDescent="0.25">
      <c r="A353" s="8" t="s">
        <v>270</v>
      </c>
      <c r="B353" s="101">
        <v>39</v>
      </c>
      <c r="C353" s="60">
        <v>90</v>
      </c>
      <c r="D353" s="106">
        <v>5.9850630238040603</v>
      </c>
      <c r="E353" s="106">
        <f t="shared" si="3"/>
        <v>7.2026309023122774</v>
      </c>
      <c r="H353" s="43"/>
      <c r="I353" s="43"/>
      <c r="J353" s="43"/>
      <c r="K353" s="43"/>
      <c r="R353" s="43"/>
      <c r="S353" s="43"/>
      <c r="T353" s="43"/>
    </row>
    <row r="354" spans="1:20" x14ac:dyDescent="0.25">
      <c r="A354" s="8" t="s">
        <v>270</v>
      </c>
      <c r="B354" s="101">
        <v>39</v>
      </c>
      <c r="C354" s="60">
        <v>91</v>
      </c>
      <c r="D354" s="106">
        <v>5.2461680746484554</v>
      </c>
      <c r="E354" s="106">
        <f t="shared" si="3"/>
        <v>7.1812420254270153</v>
      </c>
      <c r="H354" s="43"/>
      <c r="I354" s="43"/>
      <c r="J354" s="43"/>
      <c r="K354" s="43"/>
      <c r="R354" s="43"/>
      <c r="S354" s="43"/>
      <c r="T354" s="43"/>
    </row>
    <row r="355" spans="1:20" x14ac:dyDescent="0.25">
      <c r="A355" s="8" t="s">
        <v>270</v>
      </c>
      <c r="B355" s="101">
        <v>39</v>
      </c>
      <c r="C355" s="60">
        <v>92</v>
      </c>
      <c r="D355" s="106">
        <v>7.3317741979842346</v>
      </c>
      <c r="E355" s="106">
        <f t="shared" si="3"/>
        <v>7.1601353217867896</v>
      </c>
      <c r="H355" s="43"/>
      <c r="I355" s="43"/>
      <c r="J355" s="43"/>
      <c r="K355" s="43"/>
      <c r="R355" s="43"/>
      <c r="S355" s="43"/>
      <c r="T355" s="43"/>
    </row>
    <row r="356" spans="1:20" x14ac:dyDescent="0.25">
      <c r="A356" s="8" t="s">
        <v>270</v>
      </c>
      <c r="B356" s="102">
        <v>39</v>
      </c>
      <c r="C356" s="15">
        <v>93</v>
      </c>
      <c r="D356" s="83">
        <v>6.5902543759795265</v>
      </c>
      <c r="E356" s="106">
        <f t="shared" si="3"/>
        <v>7.1393041427103743</v>
      </c>
      <c r="K356" s="43"/>
      <c r="R356" s="43"/>
      <c r="S356" s="43"/>
      <c r="T356" s="43"/>
    </row>
    <row r="357" spans="1:20" x14ac:dyDescent="0.25">
      <c r="A357" s="8" t="s">
        <v>271</v>
      </c>
      <c r="B357" s="102">
        <v>40</v>
      </c>
      <c r="C357" s="15">
        <v>91</v>
      </c>
      <c r="D357" s="83">
        <v>2.449167260338132</v>
      </c>
      <c r="E357" s="106">
        <f t="shared" si="3"/>
        <v>7.3653764363354011</v>
      </c>
      <c r="K357" s="43"/>
      <c r="R357" s="43"/>
      <c r="S357" s="43"/>
      <c r="T357" s="43"/>
    </row>
    <row r="358" spans="1:20" x14ac:dyDescent="0.25">
      <c r="A358" s="8" t="s">
        <v>271</v>
      </c>
      <c r="B358" s="102">
        <v>40</v>
      </c>
      <c r="C358" s="15">
        <v>92</v>
      </c>
      <c r="D358" s="83">
        <v>3.7054803256982298</v>
      </c>
      <c r="E358" s="106">
        <f t="shared" si="3"/>
        <v>7.3437285351659378</v>
      </c>
      <c r="K358" s="43"/>
      <c r="R358" s="43"/>
      <c r="S358" s="43"/>
      <c r="T358" s="43"/>
    </row>
    <row r="359" spans="1:20" x14ac:dyDescent="0.25">
      <c r="A359" s="8" t="s">
        <v>271</v>
      </c>
      <c r="B359" s="102">
        <v>40</v>
      </c>
      <c r="C359" s="15">
        <v>93</v>
      </c>
      <c r="D359" s="83">
        <v>3.7978712090390072</v>
      </c>
      <c r="E359" s="106">
        <f t="shared" si="3"/>
        <v>7.3223632232926912</v>
      </c>
      <c r="K359" s="43"/>
      <c r="R359" s="43"/>
      <c r="S359" s="43"/>
      <c r="T359" s="43"/>
    </row>
    <row r="360" spans="1:20" x14ac:dyDescent="0.25">
      <c r="A360" s="8" t="s">
        <v>271</v>
      </c>
      <c r="B360" s="102">
        <v>40</v>
      </c>
      <c r="C360" s="15">
        <v>94</v>
      </c>
      <c r="D360" s="83">
        <v>2.8087190151496073</v>
      </c>
      <c r="E360" s="106">
        <f t="shared" si="3"/>
        <v>7.3012739121137846</v>
      </c>
      <c r="K360" s="43"/>
      <c r="R360" s="43"/>
      <c r="S360" s="43"/>
      <c r="T360" s="43"/>
    </row>
    <row r="361" spans="1:20" x14ac:dyDescent="0.25">
      <c r="A361" s="8" t="s">
        <v>271</v>
      </c>
      <c r="B361" s="102">
        <v>40</v>
      </c>
      <c r="C361" s="15">
        <v>95</v>
      </c>
      <c r="D361" s="83">
        <v>4.8276709869254288</v>
      </c>
      <c r="E361" s="106">
        <f t="shared" si="3"/>
        <v>7.2804542334667106</v>
      </c>
      <c r="K361" s="43"/>
      <c r="R361" s="43"/>
      <c r="S361" s="43"/>
      <c r="T361" s="43"/>
    </row>
    <row r="362" spans="1:20" x14ac:dyDescent="0.25">
      <c r="A362" s="8" t="s">
        <v>271</v>
      </c>
      <c r="B362" s="102">
        <v>40</v>
      </c>
      <c r="C362" s="15">
        <v>96</v>
      </c>
      <c r="D362" s="83">
        <v>3.8689071154182719</v>
      </c>
      <c r="E362" s="106">
        <f t="shared" si="3"/>
        <v>7.2598980300536118</v>
      </c>
      <c r="K362" s="43"/>
      <c r="R362" s="43"/>
      <c r="S362" s="43"/>
      <c r="T362" s="43"/>
    </row>
    <row r="363" spans="1:20" x14ac:dyDescent="0.25">
      <c r="A363" s="8" t="s">
        <v>272</v>
      </c>
      <c r="B363" s="102">
        <v>41</v>
      </c>
      <c r="C363" s="15">
        <v>92</v>
      </c>
      <c r="D363" s="83">
        <v>2.055261209242595</v>
      </c>
      <c r="E363" s="106">
        <f t="shared" si="3"/>
        <v>7.5273217485450861</v>
      </c>
      <c r="K363" s="43"/>
      <c r="R363" s="43"/>
      <c r="S363" s="43"/>
      <c r="T363" s="43"/>
    </row>
    <row r="364" spans="1:20" x14ac:dyDescent="0.25">
      <c r="A364" s="8" t="s">
        <v>272</v>
      </c>
      <c r="B364" s="102">
        <v>41</v>
      </c>
      <c r="C364" s="15">
        <v>93</v>
      </c>
      <c r="D364" s="83">
        <v>3.2995658265732559</v>
      </c>
      <c r="E364" s="106">
        <f t="shared" si="3"/>
        <v>7.505422303875009</v>
      </c>
      <c r="K364" s="43"/>
      <c r="R364" s="43"/>
      <c r="S364" s="43"/>
      <c r="T364" s="43"/>
    </row>
    <row r="365" spans="1:20" x14ac:dyDescent="0.25">
      <c r="A365" s="8" t="s">
        <v>272</v>
      </c>
      <c r="B365" s="102">
        <v>41</v>
      </c>
      <c r="C365" s="15">
        <v>94</v>
      </c>
      <c r="D365" s="83">
        <v>5.7477349583740596</v>
      </c>
      <c r="E365" s="106">
        <f t="shared" si="3"/>
        <v>7.4838057599166294</v>
      </c>
      <c r="K365" s="43"/>
      <c r="R365" s="43"/>
      <c r="S365" s="43"/>
      <c r="T365" s="43"/>
    </row>
    <row r="366" spans="1:20" x14ac:dyDescent="0.25">
      <c r="A366" s="8" t="s">
        <v>272</v>
      </c>
      <c r="B366" s="102">
        <v>41</v>
      </c>
      <c r="C366" s="15">
        <v>95</v>
      </c>
      <c r="D366" s="83">
        <v>4.630519239780976</v>
      </c>
      <c r="E366" s="106">
        <f t="shared" si="3"/>
        <v>7.4624655893033784</v>
      </c>
      <c r="K366" s="43"/>
      <c r="R366" s="43"/>
      <c r="S366" s="43"/>
      <c r="T366" s="43"/>
    </row>
    <row r="367" spans="1:20" x14ac:dyDescent="0.25">
      <c r="A367" s="8" t="s">
        <v>272</v>
      </c>
      <c r="B367" s="102">
        <v>41</v>
      </c>
      <c r="C367" s="15">
        <v>96</v>
      </c>
      <c r="D367" s="83">
        <v>6.8866786277085161</v>
      </c>
      <c r="E367" s="106">
        <f t="shared" si="3"/>
        <v>7.4413954808049523</v>
      </c>
      <c r="K367" s="43"/>
      <c r="R367" s="43"/>
      <c r="S367" s="43"/>
      <c r="T367" s="43"/>
    </row>
    <row r="368" spans="1:20" x14ac:dyDescent="0.25">
      <c r="A368" s="8" t="s">
        <v>272</v>
      </c>
      <c r="B368" s="102">
        <v>41</v>
      </c>
      <c r="C368" s="15">
        <v>97</v>
      </c>
      <c r="D368" s="83">
        <v>5.6361364893639863</v>
      </c>
      <c r="E368" s="106">
        <f t="shared" si="3"/>
        <v>7.4205893300356456</v>
      </c>
      <c r="K368" s="43"/>
      <c r="R368" s="43"/>
      <c r="S368" s="43"/>
      <c r="T368" s="43"/>
    </row>
    <row r="369" spans="1:20" x14ac:dyDescent="0.25">
      <c r="A369" s="8" t="s">
        <v>272</v>
      </c>
      <c r="B369" s="102">
        <v>41</v>
      </c>
      <c r="C369" s="15">
        <v>98</v>
      </c>
      <c r="D369" s="83">
        <v>8.2800125507009081</v>
      </c>
      <c r="E369" s="106">
        <f t="shared" si="3"/>
        <v>7.4000412306522838</v>
      </c>
      <c r="K369" s="43"/>
      <c r="R369" s="43"/>
      <c r="S369" s="43"/>
      <c r="T369" s="43"/>
    </row>
    <row r="370" spans="1:20" x14ac:dyDescent="0.25">
      <c r="A370" s="8" t="s">
        <v>273</v>
      </c>
      <c r="B370" s="102">
        <v>42</v>
      </c>
      <c r="C370" s="15">
        <v>93</v>
      </c>
      <c r="D370" s="83">
        <v>0.49883179383772197</v>
      </c>
      <c r="E370" s="106">
        <f t="shared" si="3"/>
        <v>7.6884813844573259</v>
      </c>
      <c r="K370" s="43"/>
      <c r="R370" s="43"/>
      <c r="S370" s="43"/>
      <c r="T370" s="43"/>
    </row>
    <row r="371" spans="1:20" x14ac:dyDescent="0.25">
      <c r="A371" s="8" t="s">
        <v>273</v>
      </c>
      <c r="B371" s="102">
        <v>42</v>
      </c>
      <c r="C371" s="15">
        <v>95</v>
      </c>
      <c r="D371" s="83">
        <v>2.0049706894979957</v>
      </c>
      <c r="E371" s="106">
        <f t="shared" si="3"/>
        <v>7.6444769451400463</v>
      </c>
      <c r="K371" s="43"/>
      <c r="R371" s="43"/>
      <c r="S371" s="43"/>
      <c r="T371" s="43"/>
    </row>
    <row r="372" spans="1:20" x14ac:dyDescent="0.25">
      <c r="A372" s="8" t="s">
        <v>273</v>
      </c>
      <c r="B372" s="102">
        <v>42</v>
      </c>
      <c r="C372" s="15">
        <v>96</v>
      </c>
      <c r="D372" s="83">
        <v>0.72216981329509633</v>
      </c>
      <c r="E372" s="106">
        <f t="shared" si="3"/>
        <v>7.6228929315562919</v>
      </c>
      <c r="K372" s="43"/>
      <c r="R372" s="43"/>
      <c r="S372" s="43"/>
      <c r="T372" s="43"/>
    </row>
    <row r="373" spans="1:20" x14ac:dyDescent="0.25">
      <c r="A373" s="8" t="s">
        <v>273</v>
      </c>
      <c r="B373" s="102">
        <v>42</v>
      </c>
      <c r="C373" s="15">
        <v>97</v>
      </c>
      <c r="D373" s="83">
        <v>3.3856721714500972</v>
      </c>
      <c r="E373" s="106">
        <f t="shared" si="3"/>
        <v>7.6015793136950514</v>
      </c>
      <c r="K373" s="43"/>
      <c r="R373" s="43"/>
      <c r="S373" s="43"/>
      <c r="T373" s="43"/>
    </row>
    <row r="374" spans="1:20" x14ac:dyDescent="0.25">
      <c r="A374" s="8" t="s">
        <v>273</v>
      </c>
      <c r="B374" s="102">
        <v>42</v>
      </c>
      <c r="C374" s="15">
        <v>98</v>
      </c>
      <c r="D374" s="83">
        <v>2.022302251036376</v>
      </c>
      <c r="E374" s="106">
        <f t="shared" si="3"/>
        <v>7.5805300411559982</v>
      </c>
      <c r="K374" s="43"/>
      <c r="R374" s="43"/>
      <c r="S374" s="43"/>
      <c r="T374" s="43"/>
    </row>
    <row r="375" spans="1:20" x14ac:dyDescent="0.25">
      <c r="A375" s="8" t="s">
        <v>273</v>
      </c>
      <c r="B375" s="102">
        <v>42</v>
      </c>
      <c r="C375" s="15">
        <v>99</v>
      </c>
      <c r="D375" s="83">
        <v>5.0614095282731792</v>
      </c>
      <c r="E375" s="106">
        <f t="shared" si="3"/>
        <v>7.5597392578652354</v>
      </c>
      <c r="K375" s="43"/>
      <c r="R375" s="43"/>
      <c r="S375" s="43"/>
      <c r="T375" s="43"/>
    </row>
    <row r="376" spans="1:20" x14ac:dyDescent="0.25">
      <c r="A376" s="8" t="s">
        <v>273</v>
      </c>
      <c r="B376" s="102">
        <v>42</v>
      </c>
      <c r="C376" s="15">
        <v>100</v>
      </c>
      <c r="D376" s="83">
        <v>3.5362491070386999</v>
      </c>
      <c r="E376" s="106">
        <f t="shared" si="3"/>
        <v>7.5392012939702315</v>
      </c>
      <c r="K376" s="43"/>
      <c r="R376" s="43"/>
      <c r="S376" s="43"/>
      <c r="T376" s="43"/>
    </row>
    <row r="377" spans="1:20" x14ac:dyDescent="0.25">
      <c r="A377" s="8" t="s">
        <v>274</v>
      </c>
      <c r="B377" s="102">
        <v>43</v>
      </c>
      <c r="C377" s="15">
        <v>94</v>
      </c>
      <c r="D377" s="83">
        <v>2.1188973082046547</v>
      </c>
      <c r="E377" s="106">
        <f t="shared" si="3"/>
        <v>7.8488694555223191</v>
      </c>
      <c r="K377" s="43"/>
      <c r="R377" s="43"/>
      <c r="S377" s="43"/>
      <c r="T377" s="43"/>
    </row>
    <row r="378" spans="1:20" x14ac:dyDescent="0.25">
      <c r="A378" s="8" t="s">
        <v>274</v>
      </c>
      <c r="B378" s="102">
        <v>43</v>
      </c>
      <c r="C378" s="15">
        <v>95</v>
      </c>
      <c r="D378" s="83">
        <v>1.1390733228106991</v>
      </c>
      <c r="E378" s="106">
        <f t="shared" si="3"/>
        <v>7.8264883009767141</v>
      </c>
      <c r="K378" s="43"/>
      <c r="R378" s="43"/>
      <c r="S378" s="43"/>
      <c r="T378" s="43"/>
    </row>
    <row r="379" spans="1:20" x14ac:dyDescent="0.25">
      <c r="A379" s="8" t="s">
        <v>274</v>
      </c>
      <c r="B379" s="101">
        <v>43</v>
      </c>
      <c r="C379" s="43">
        <v>96</v>
      </c>
      <c r="D379" s="106">
        <v>3.9591935293763254</v>
      </c>
      <c r="E379" s="106">
        <f t="shared" si="3"/>
        <v>7.8043903823076324</v>
      </c>
      <c r="H379" s="43"/>
      <c r="I379" s="43"/>
      <c r="J379" s="43"/>
      <c r="K379" s="43"/>
      <c r="R379" s="43"/>
      <c r="S379" s="43"/>
      <c r="T379" s="43"/>
    </row>
    <row r="380" spans="1:20" x14ac:dyDescent="0.25">
      <c r="A380" s="8" t="s">
        <v>274</v>
      </c>
      <c r="B380" s="101">
        <v>43</v>
      </c>
      <c r="C380" s="43">
        <v>97</v>
      </c>
      <c r="D380" s="106">
        <v>2.5524310207210812</v>
      </c>
      <c r="E380" s="106">
        <f t="shared" si="3"/>
        <v>7.782569297354458</v>
      </c>
      <c r="H380" s="43"/>
      <c r="I380" s="43"/>
      <c r="J380" s="43"/>
      <c r="K380" s="43"/>
      <c r="R380" s="43"/>
      <c r="S380" s="43"/>
      <c r="T380" s="43"/>
    </row>
    <row r="381" spans="1:20" x14ac:dyDescent="0.25">
      <c r="A381" s="8" t="s">
        <v>274</v>
      </c>
      <c r="B381" s="101">
        <v>43</v>
      </c>
      <c r="C381" s="43">
        <v>98</v>
      </c>
      <c r="D381" s="106">
        <v>5.4958553039171303</v>
      </c>
      <c r="E381" s="106">
        <f t="shared" si="3"/>
        <v>7.7610188516597125</v>
      </c>
      <c r="H381" s="43"/>
      <c r="I381" s="43"/>
      <c r="J381" s="43"/>
      <c r="K381" s="43"/>
      <c r="R381" s="43"/>
      <c r="S381" s="43"/>
      <c r="T381" s="43"/>
    </row>
    <row r="382" spans="1:20" x14ac:dyDescent="0.25">
      <c r="A382" s="8" t="s">
        <v>274</v>
      </c>
      <c r="B382" s="101">
        <v>43</v>
      </c>
      <c r="C382" s="43">
        <v>99</v>
      </c>
      <c r="D382" s="106">
        <v>3.9996704595085282</v>
      </c>
      <c r="E382" s="106">
        <f t="shared" si="3"/>
        <v>7.7397330497191694</v>
      </c>
      <c r="H382" s="43"/>
      <c r="I382" s="43"/>
      <c r="J382" s="43"/>
      <c r="K382" s="43"/>
      <c r="R382" s="43"/>
      <c r="S382" s="43"/>
      <c r="T382" s="43"/>
    </row>
    <row r="383" spans="1:20" x14ac:dyDescent="0.25">
      <c r="A383" s="8" t="s">
        <v>274</v>
      </c>
      <c r="B383" s="101">
        <v>43</v>
      </c>
      <c r="C383" s="43">
        <v>100</v>
      </c>
      <c r="D383" s="106">
        <v>6.903005359051023</v>
      </c>
      <c r="E383" s="106">
        <f t="shared" si="3"/>
        <v>7.7187060866838086</v>
      </c>
      <c r="H383" s="43"/>
      <c r="I383" s="43"/>
      <c r="J383" s="43"/>
      <c r="K383" s="43"/>
      <c r="R383" s="43"/>
      <c r="S383" s="43"/>
      <c r="T383" s="43"/>
    </row>
    <row r="384" spans="1:20" x14ac:dyDescent="0.25">
      <c r="A384" s="8" t="s">
        <v>274</v>
      </c>
      <c r="B384" s="101">
        <v>43</v>
      </c>
      <c r="C384" s="43">
        <v>101</v>
      </c>
      <c r="D384" s="106">
        <v>5.3291413128593055</v>
      </c>
      <c r="E384" s="106">
        <f t="shared" si="3"/>
        <v>7.6979323404861146</v>
      </c>
      <c r="H384" s="43"/>
      <c r="I384" s="43"/>
      <c r="J384" s="43"/>
      <c r="K384" s="43"/>
      <c r="R384" s="43"/>
      <c r="S384" s="43"/>
      <c r="T384" s="43"/>
    </row>
    <row r="385" spans="1:20" x14ac:dyDescent="0.25">
      <c r="A385" s="8" t="s">
        <v>274</v>
      </c>
      <c r="B385" s="101">
        <v>43</v>
      </c>
      <c r="C385" s="43">
        <v>102</v>
      </c>
      <c r="D385" s="106">
        <v>8.1978184725553689</v>
      </c>
      <c r="E385" s="106">
        <f t="shared" si="3"/>
        <v>7.6774063643650505</v>
      </c>
      <c r="H385" s="43"/>
      <c r="I385" s="43"/>
      <c r="J385" s="43"/>
      <c r="K385" s="43"/>
      <c r="R385" s="43"/>
      <c r="S385" s="43"/>
      <c r="T385" s="43"/>
    </row>
    <row r="386" spans="1:20" x14ac:dyDescent="0.25">
      <c r="A386" s="8" t="s">
        <v>275</v>
      </c>
      <c r="B386" s="101">
        <v>44</v>
      </c>
      <c r="C386" s="43">
        <v>99</v>
      </c>
      <c r="D386" s="106">
        <v>1.5999325553103447</v>
      </c>
      <c r="E386" s="106">
        <f t="shared" si="3"/>
        <v>7.9197268415731035</v>
      </c>
      <c r="H386" s="43"/>
      <c r="I386" s="43"/>
      <c r="J386" s="43"/>
      <c r="K386" s="43"/>
      <c r="R386" s="43"/>
      <c r="S386" s="43"/>
      <c r="T386" s="43"/>
    </row>
    <row r="387" spans="1:20" x14ac:dyDescent="0.25">
      <c r="A387" s="8" t="s">
        <v>275</v>
      </c>
      <c r="B387" s="101">
        <v>44</v>
      </c>
      <c r="C387" s="43">
        <v>100</v>
      </c>
      <c r="D387" s="106">
        <v>5.1073474639687061E-2</v>
      </c>
      <c r="E387" s="106">
        <f t="shared" si="3"/>
        <v>7.8982108793973858</v>
      </c>
      <c r="H387" s="43"/>
      <c r="I387" s="43"/>
      <c r="J387" s="43"/>
      <c r="K387" s="43"/>
      <c r="R387" s="43"/>
      <c r="S387" s="43"/>
      <c r="T387" s="43"/>
    </row>
    <row r="388" spans="1:20" x14ac:dyDescent="0.25">
      <c r="A388" s="8" t="s">
        <v>275</v>
      </c>
      <c r="B388" s="101">
        <v>44</v>
      </c>
      <c r="C388" s="43">
        <v>101</v>
      </c>
      <c r="D388" s="106">
        <v>3.1652443631196978</v>
      </c>
      <c r="E388" s="106">
        <f t="shared" si="3"/>
        <v>7.8769540228230008</v>
      </c>
      <c r="H388" s="43"/>
      <c r="I388" s="43"/>
      <c r="J388" s="43"/>
      <c r="K388" s="43"/>
      <c r="R388" s="43"/>
      <c r="S388" s="43"/>
      <c r="T388" s="43"/>
    </row>
    <row r="389" spans="1:20" x14ac:dyDescent="0.25">
      <c r="A389" s="8" t="s">
        <v>275</v>
      </c>
      <c r="B389" s="101">
        <v>44</v>
      </c>
      <c r="C389" s="43">
        <v>102</v>
      </c>
      <c r="D389" s="106">
        <v>1.37887850296456</v>
      </c>
      <c r="E389" s="106">
        <f t="shared" si="3"/>
        <v>7.8559506984200516</v>
      </c>
      <c r="H389" s="43"/>
      <c r="I389" s="43"/>
      <c r="J389" s="43"/>
      <c r="K389" s="43"/>
      <c r="R389" s="43"/>
      <c r="S389" s="43"/>
      <c r="T389" s="43"/>
    </row>
    <row r="390" spans="1:20" x14ac:dyDescent="0.25">
      <c r="A390" s="8" t="s">
        <v>275</v>
      </c>
      <c r="B390" s="101">
        <v>44</v>
      </c>
      <c r="C390" s="43">
        <v>103</v>
      </c>
      <c r="D390" s="106">
        <v>4.4688218688307098</v>
      </c>
      <c r="E390" s="106">
        <f t="shared" si="3"/>
        <v>7.8351955048767064</v>
      </c>
      <c r="H390" s="43"/>
      <c r="I390" s="43"/>
      <c r="J390" s="43"/>
      <c r="K390" s="43"/>
      <c r="R390" s="43"/>
      <c r="S390" s="43"/>
      <c r="T390" s="43"/>
    </row>
    <row r="391" spans="1:20" x14ac:dyDescent="0.25">
      <c r="A391" s="8" t="s">
        <v>275</v>
      </c>
      <c r="B391" s="101">
        <v>44</v>
      </c>
      <c r="C391" s="43">
        <v>104</v>
      </c>
      <c r="D391" s="106">
        <v>2.5597823452172506</v>
      </c>
      <c r="E391" s="106">
        <f t="shared" si="3"/>
        <v>7.8146832060947489</v>
      </c>
      <c r="H391" s="43"/>
      <c r="I391" s="43"/>
      <c r="J391" s="43"/>
      <c r="K391" s="43"/>
      <c r="R391" s="43"/>
      <c r="S391" s="43"/>
      <c r="T391" s="43"/>
    </row>
    <row r="392" spans="1:20" x14ac:dyDescent="0.25">
      <c r="A392" s="8" t="s">
        <v>276</v>
      </c>
      <c r="B392" s="101">
        <v>45</v>
      </c>
      <c r="C392" s="43">
        <v>98</v>
      </c>
      <c r="D392" s="106">
        <v>1.7998621618713377</v>
      </c>
      <c r="E392" s="106">
        <f t="shared" si="3"/>
        <v>8.1219964726671403</v>
      </c>
      <c r="H392" s="43"/>
      <c r="I392" s="43"/>
      <c r="J392" s="43"/>
      <c r="K392" s="43"/>
      <c r="R392" s="43"/>
      <c r="S392" s="43"/>
      <c r="T392" s="43"/>
    </row>
    <row r="393" spans="1:20" x14ac:dyDescent="0.25">
      <c r="A393" s="8" t="s">
        <v>276</v>
      </c>
      <c r="B393" s="101">
        <v>45</v>
      </c>
      <c r="C393" s="43">
        <v>99</v>
      </c>
      <c r="D393" s="106">
        <v>0.28470564704922774</v>
      </c>
      <c r="E393" s="106">
        <f t="shared" si="3"/>
        <v>8.0997206334270384</v>
      </c>
      <c r="H393" s="43"/>
      <c r="I393" s="43"/>
      <c r="J393" s="43"/>
      <c r="K393" s="43"/>
      <c r="R393" s="43"/>
      <c r="S393" s="43"/>
      <c r="T393" s="43"/>
    </row>
    <row r="394" spans="1:20" x14ac:dyDescent="0.25">
      <c r="A394" s="8" t="s">
        <v>276</v>
      </c>
      <c r="B394" s="101">
        <v>45</v>
      </c>
      <c r="C394" s="43">
        <v>100</v>
      </c>
      <c r="D394" s="106">
        <v>3.3451275604876263</v>
      </c>
      <c r="E394" s="106">
        <f t="shared" ref="E394:E457" si="4">B394/(1+C394^0.33)</f>
        <v>8.077715672110962</v>
      </c>
      <c r="H394" s="43"/>
      <c r="I394" s="43"/>
      <c r="J394" s="43"/>
      <c r="K394" s="43"/>
      <c r="R394" s="43"/>
      <c r="S394" s="43"/>
      <c r="T394" s="43"/>
    </row>
    <row r="395" spans="1:20" x14ac:dyDescent="0.25">
      <c r="A395" s="8" t="s">
        <v>276</v>
      </c>
      <c r="B395" s="101">
        <v>45</v>
      </c>
      <c r="C395" s="43">
        <v>101</v>
      </c>
      <c r="D395" s="106">
        <v>1.7217357827616115</v>
      </c>
      <c r="E395" s="106">
        <f t="shared" si="4"/>
        <v>8.0559757051598879</v>
      </c>
      <c r="H395" s="43"/>
      <c r="I395" s="43"/>
      <c r="J395" s="43"/>
      <c r="K395" s="43"/>
      <c r="R395" s="43"/>
      <c r="S395" s="43"/>
      <c r="T395" s="43"/>
    </row>
    <row r="396" spans="1:20" x14ac:dyDescent="0.25">
      <c r="A396" s="8" t="s">
        <v>276</v>
      </c>
      <c r="B396" s="101">
        <v>45</v>
      </c>
      <c r="C396" s="43">
        <v>102</v>
      </c>
      <c r="D396" s="106">
        <v>4.8539642103435643</v>
      </c>
      <c r="E396" s="106">
        <f t="shared" si="4"/>
        <v>8.0344950324750535</v>
      </c>
      <c r="H396" s="43"/>
      <c r="I396" s="43"/>
      <c r="J396" s="43"/>
      <c r="K396" s="43"/>
      <c r="R396" s="43"/>
      <c r="S396" s="43"/>
      <c r="T396" s="43"/>
    </row>
    <row r="397" spans="1:20" x14ac:dyDescent="0.25">
      <c r="A397" s="8" t="s">
        <v>276</v>
      </c>
      <c r="B397" s="101">
        <v>45</v>
      </c>
      <c r="C397" s="43">
        <v>103</v>
      </c>
      <c r="D397" s="106">
        <v>3.1609888283499212</v>
      </c>
      <c r="E397" s="106">
        <f t="shared" si="4"/>
        <v>8.0132681299875408</v>
      </c>
      <c r="H397" s="43"/>
      <c r="I397" s="43"/>
      <c r="J397" s="43"/>
      <c r="K397" s="43"/>
      <c r="R397" s="43"/>
      <c r="S397" s="43"/>
      <c r="T397" s="43"/>
    </row>
    <row r="398" spans="1:20" x14ac:dyDescent="0.25">
      <c r="A398" s="8" t="s">
        <v>276</v>
      </c>
      <c r="B398" s="101">
        <v>45</v>
      </c>
      <c r="C398" s="43">
        <v>104</v>
      </c>
      <c r="D398" s="106">
        <v>6.1500000927609175</v>
      </c>
      <c r="E398" s="106">
        <f t="shared" si="4"/>
        <v>7.9922896425969023</v>
      </c>
      <c r="H398" s="43"/>
      <c r="I398" s="43"/>
      <c r="J398" s="43"/>
      <c r="K398" s="43"/>
      <c r="R398" s="43"/>
      <c r="S398" s="43"/>
      <c r="T398" s="43"/>
    </row>
    <row r="399" spans="1:20" x14ac:dyDescent="0.25">
      <c r="A399" s="8" t="s">
        <v>276</v>
      </c>
      <c r="B399" s="101">
        <v>45</v>
      </c>
      <c r="C399" s="43">
        <v>105</v>
      </c>
      <c r="D399" s="106">
        <v>4.2738447660516821</v>
      </c>
      <c r="E399" s="106">
        <f t="shared" si="4"/>
        <v>7.9715543774571751</v>
      </c>
      <c r="H399" s="43"/>
      <c r="I399" s="43"/>
      <c r="J399" s="43"/>
      <c r="K399" s="43"/>
      <c r="R399" s="43"/>
      <c r="S399" s="43"/>
      <c r="T399" s="43"/>
    </row>
    <row r="400" spans="1:20" x14ac:dyDescent="0.25">
      <c r="A400" s="8" t="s">
        <v>276</v>
      </c>
      <c r="B400" s="101">
        <v>45</v>
      </c>
      <c r="C400" s="43">
        <v>106</v>
      </c>
      <c r="D400" s="106">
        <v>7.2408581517366901</v>
      </c>
      <c r="E400" s="106">
        <f t="shared" si="4"/>
        <v>7.9510572975900811</v>
      </c>
      <c r="H400" s="43"/>
      <c r="I400" s="43"/>
      <c r="J400" s="43"/>
      <c r="K400" s="43"/>
      <c r="R400" s="43"/>
      <c r="S400" s="43"/>
      <c r="T400" s="43"/>
    </row>
    <row r="401" spans="1:20" x14ac:dyDescent="0.25">
      <c r="A401" s="8" t="s">
        <v>276</v>
      </c>
      <c r="B401" s="101">
        <v>45</v>
      </c>
      <c r="C401" s="43">
        <v>107</v>
      </c>
      <c r="D401" s="106">
        <v>5.2144137502256847</v>
      </c>
      <c r="E401" s="106">
        <f t="shared" si="4"/>
        <v>7.9307935158066103</v>
      </c>
      <c r="H401" s="43"/>
      <c r="I401" s="43"/>
      <c r="J401" s="43"/>
      <c r="K401" s="43"/>
      <c r="R401" s="43"/>
      <c r="S401" s="43"/>
      <c r="T401" s="43"/>
    </row>
    <row r="402" spans="1:20" x14ac:dyDescent="0.25">
      <c r="A402" s="8" t="s">
        <v>277</v>
      </c>
      <c r="B402" s="101">
        <v>46</v>
      </c>
      <c r="C402" s="43">
        <v>103</v>
      </c>
      <c r="D402" s="106">
        <v>1.0166064538309183</v>
      </c>
      <c r="E402" s="106">
        <f t="shared" si="4"/>
        <v>8.1913407550983752</v>
      </c>
      <c r="H402" s="43"/>
      <c r="I402" s="43"/>
      <c r="J402" s="43"/>
      <c r="K402" s="43"/>
      <c r="R402" s="43"/>
      <c r="S402" s="43"/>
      <c r="T402" s="43"/>
    </row>
    <row r="403" spans="1:20" x14ac:dyDescent="0.25">
      <c r="A403" s="8" t="s">
        <v>277</v>
      </c>
      <c r="B403" s="101">
        <v>46</v>
      </c>
      <c r="C403" s="43">
        <v>105</v>
      </c>
      <c r="D403" s="106">
        <v>2.3583613332466653</v>
      </c>
      <c r="E403" s="106">
        <f t="shared" si="4"/>
        <v>8.1487000302895574</v>
      </c>
      <c r="H403" s="43"/>
      <c r="I403" s="43"/>
      <c r="J403" s="43"/>
      <c r="K403" s="43"/>
      <c r="R403" s="43"/>
      <c r="S403" s="43"/>
      <c r="T403" s="43"/>
    </row>
    <row r="404" spans="1:20" x14ac:dyDescent="0.25">
      <c r="A404" s="8" t="s">
        <v>277</v>
      </c>
      <c r="B404" s="101">
        <v>46</v>
      </c>
      <c r="C404" s="43">
        <v>106</v>
      </c>
      <c r="D404" s="106">
        <v>0.71436678339397552</v>
      </c>
      <c r="E404" s="106">
        <f t="shared" si="4"/>
        <v>8.1277474597587496</v>
      </c>
      <c r="H404" s="43"/>
      <c r="I404" s="43"/>
      <c r="J404" s="43"/>
      <c r="K404" s="43"/>
      <c r="R404" s="43"/>
      <c r="S404" s="43"/>
      <c r="T404" s="43"/>
    </row>
    <row r="405" spans="1:20" x14ac:dyDescent="0.25">
      <c r="A405" s="8" t="s">
        <v>277</v>
      </c>
      <c r="B405" s="101">
        <v>46</v>
      </c>
      <c r="C405" s="43">
        <v>107</v>
      </c>
      <c r="D405" s="106">
        <v>3.7397927872171075</v>
      </c>
      <c r="E405" s="106">
        <f t="shared" si="4"/>
        <v>8.107033371713424</v>
      </c>
      <c r="H405" s="43"/>
      <c r="I405" s="43"/>
      <c r="J405" s="43"/>
      <c r="K405" s="43"/>
      <c r="R405" s="43"/>
      <c r="S405" s="43"/>
      <c r="T405" s="43"/>
    </row>
    <row r="406" spans="1:20" x14ac:dyDescent="0.25">
      <c r="A406" s="8" t="s">
        <v>277</v>
      </c>
      <c r="B406" s="101">
        <v>46</v>
      </c>
      <c r="C406" s="43">
        <v>108</v>
      </c>
      <c r="D406" s="106">
        <v>1.7843369237051157</v>
      </c>
      <c r="E406" s="106">
        <f t="shared" si="4"/>
        <v>8.0865529175619972</v>
      </c>
      <c r="H406" s="43"/>
      <c r="I406" s="43"/>
      <c r="J406" s="43"/>
      <c r="K406" s="43"/>
      <c r="R406" s="43"/>
      <c r="S406" s="43"/>
      <c r="T406" s="43"/>
    </row>
    <row r="407" spans="1:20" x14ac:dyDescent="0.25">
      <c r="A407" s="8" t="s">
        <v>277</v>
      </c>
      <c r="B407" s="101">
        <v>46</v>
      </c>
      <c r="C407" s="43">
        <v>109</v>
      </c>
      <c r="D407" s="106">
        <v>4.8222031008080677</v>
      </c>
      <c r="E407" s="106">
        <f t="shared" si="4"/>
        <v>8.0663013902786833</v>
      </c>
      <c r="H407" s="43"/>
      <c r="I407" s="43"/>
      <c r="J407" s="43"/>
      <c r="K407" s="43"/>
      <c r="R407" s="43"/>
      <c r="S407" s="43"/>
      <c r="T407" s="43"/>
    </row>
    <row r="408" spans="1:20" x14ac:dyDescent="0.25">
      <c r="A408" s="8" t="s">
        <v>277</v>
      </c>
      <c r="B408" s="101">
        <v>46</v>
      </c>
      <c r="C408" s="43">
        <v>110</v>
      </c>
      <c r="D408" s="106">
        <v>2.828028412326133</v>
      </c>
      <c r="E408" s="106">
        <f t="shared" si="4"/>
        <v>8.0462742190323358</v>
      </c>
      <c r="H408" s="43"/>
      <c r="I408" s="43"/>
      <c r="J408" s="43"/>
      <c r="K408" s="43"/>
      <c r="R408" s="43"/>
      <c r="S408" s="43"/>
      <c r="T408" s="43"/>
    </row>
    <row r="409" spans="1:20" x14ac:dyDescent="0.25">
      <c r="A409" s="8" t="s">
        <v>278</v>
      </c>
      <c r="B409" s="101">
        <v>47</v>
      </c>
      <c r="C409" s="43">
        <v>104</v>
      </c>
      <c r="D409" s="106">
        <v>2.4095748815201015</v>
      </c>
      <c r="E409" s="106">
        <f t="shared" si="4"/>
        <v>8.3475025156012101</v>
      </c>
      <c r="H409" s="43"/>
      <c r="I409" s="43"/>
      <c r="J409" s="43"/>
      <c r="K409" s="43"/>
      <c r="R409" s="43"/>
      <c r="S409" s="43"/>
      <c r="T409" s="43"/>
    </row>
    <row r="410" spans="1:20" x14ac:dyDescent="0.25">
      <c r="A410" s="8" t="s">
        <v>278</v>
      </c>
      <c r="B410" s="101">
        <v>47</v>
      </c>
      <c r="C410" s="43">
        <v>105</v>
      </c>
      <c r="D410" s="106">
        <v>0.9615397993607564</v>
      </c>
      <c r="E410" s="106">
        <f t="shared" si="4"/>
        <v>8.3258456831219387</v>
      </c>
      <c r="H410" s="43"/>
      <c r="I410" s="43"/>
      <c r="J410" s="43"/>
      <c r="K410" s="43"/>
      <c r="R410" s="43"/>
      <c r="S410" s="43"/>
      <c r="T410" s="43"/>
    </row>
    <row r="411" spans="1:20" x14ac:dyDescent="0.25">
      <c r="A411" s="8" t="s">
        <v>278</v>
      </c>
      <c r="B411" s="101">
        <v>47</v>
      </c>
      <c r="C411" s="43">
        <v>106</v>
      </c>
      <c r="D411" s="106">
        <v>3.9091254226640677</v>
      </c>
      <c r="E411" s="106">
        <f t="shared" si="4"/>
        <v>8.3044376219274181</v>
      </c>
      <c r="H411" s="43"/>
      <c r="I411" s="43"/>
      <c r="J411" s="43"/>
      <c r="K411" s="43"/>
      <c r="R411" s="43"/>
      <c r="S411" s="43"/>
      <c r="T411" s="43"/>
    </row>
    <row r="412" spans="1:20" x14ac:dyDescent="0.25">
      <c r="A412" s="8" t="s">
        <v>278</v>
      </c>
      <c r="B412" s="101">
        <v>47</v>
      </c>
      <c r="C412" s="43">
        <v>107</v>
      </c>
      <c r="D412" s="106">
        <v>2.7149169305392009</v>
      </c>
      <c r="E412" s="106">
        <f t="shared" si="4"/>
        <v>8.2832732276202368</v>
      </c>
      <c r="H412" s="43"/>
      <c r="I412" s="43"/>
      <c r="J412" s="43"/>
      <c r="K412" s="43"/>
      <c r="R412" s="43"/>
      <c r="S412" s="43"/>
      <c r="T412" s="43"/>
    </row>
    <row r="413" spans="1:20" x14ac:dyDescent="0.25">
      <c r="A413" s="8" t="s">
        <v>278</v>
      </c>
      <c r="B413" s="101">
        <v>47</v>
      </c>
      <c r="C413" s="43">
        <v>108</v>
      </c>
      <c r="D413" s="106">
        <v>5.3539908385100263</v>
      </c>
      <c r="E413" s="106">
        <f t="shared" si="4"/>
        <v>8.2623475462046496</v>
      </c>
      <c r="H413" s="43"/>
      <c r="I413" s="43"/>
      <c r="J413" s="43"/>
      <c r="K413" s="43"/>
      <c r="R413" s="43"/>
      <c r="S413" s="43"/>
      <c r="T413" s="43"/>
    </row>
    <row r="414" spans="1:20" x14ac:dyDescent="0.25">
      <c r="A414" s="8" t="s">
        <v>278</v>
      </c>
      <c r="B414" s="101">
        <v>47</v>
      </c>
      <c r="C414" s="43">
        <v>109</v>
      </c>
      <c r="D414" s="106">
        <v>3.5258176418696321</v>
      </c>
      <c r="E414" s="106">
        <f t="shared" si="4"/>
        <v>8.2416557683282203</v>
      </c>
      <c r="H414" s="43"/>
      <c r="I414" s="43"/>
      <c r="J414" s="43"/>
      <c r="K414" s="43"/>
      <c r="R414" s="43"/>
      <c r="S414" s="43"/>
      <c r="T414" s="43"/>
    </row>
    <row r="415" spans="1:20" x14ac:dyDescent="0.25">
      <c r="A415" s="8" t="s">
        <v>278</v>
      </c>
      <c r="B415" s="101">
        <v>47</v>
      </c>
      <c r="C415" s="43">
        <v>110</v>
      </c>
      <c r="D415" s="106">
        <v>6.5958825467073092</v>
      </c>
      <c r="E415" s="106">
        <f t="shared" si="4"/>
        <v>8.2211932237939074</v>
      </c>
      <c r="H415" s="43"/>
      <c r="I415" s="43"/>
      <c r="J415" s="43"/>
      <c r="K415" s="43"/>
      <c r="R415" s="43"/>
      <c r="S415" s="43"/>
      <c r="T415" s="43"/>
    </row>
    <row r="416" spans="1:20" x14ac:dyDescent="0.25">
      <c r="A416" s="8" t="s">
        <v>278</v>
      </c>
      <c r="B416" s="101">
        <v>47</v>
      </c>
      <c r="C416" s="43">
        <v>111</v>
      </c>
      <c r="D416" s="106">
        <v>4.7349766404799398</v>
      </c>
      <c r="E416" s="106">
        <f t="shared" si="4"/>
        <v>8.2009553763276557</v>
      </c>
      <c r="H416" s="43"/>
      <c r="I416" s="43"/>
      <c r="J416" s="43"/>
      <c r="K416" s="43"/>
      <c r="R416" s="43"/>
      <c r="S416" s="43"/>
      <c r="T416" s="43"/>
    </row>
    <row r="417" spans="1:20" x14ac:dyDescent="0.25">
      <c r="A417" s="8" t="s">
        <v>278</v>
      </c>
      <c r="B417" s="101">
        <v>47</v>
      </c>
      <c r="C417" s="43">
        <v>112</v>
      </c>
      <c r="D417" s="106">
        <v>7.6584384058655379</v>
      </c>
      <c r="E417" s="106">
        <f t="shared" si="4"/>
        <v>8.1809378185873296</v>
      </c>
      <c r="H417" s="43"/>
      <c r="I417" s="43"/>
      <c r="J417" s="43"/>
      <c r="K417" s="43"/>
      <c r="R417" s="43"/>
      <c r="S417" s="43"/>
      <c r="T417" s="43"/>
    </row>
    <row r="418" spans="1:20" x14ac:dyDescent="0.25">
      <c r="A418" s="8" t="s">
        <v>278</v>
      </c>
      <c r="B418" s="101">
        <v>47</v>
      </c>
      <c r="C418" s="43">
        <v>113</v>
      </c>
      <c r="D418" s="106">
        <v>5.714980083396731</v>
      </c>
      <c r="E418" s="106">
        <f t="shared" si="4"/>
        <v>8.1611362673999484</v>
      </c>
      <c r="H418" s="43"/>
      <c r="I418" s="43"/>
      <c r="J418" s="43"/>
      <c r="K418" s="43"/>
      <c r="R418" s="43"/>
      <c r="S418" s="43"/>
      <c r="T418" s="43"/>
    </row>
    <row r="419" spans="1:20" x14ac:dyDescent="0.25">
      <c r="A419" s="8" t="s">
        <v>279</v>
      </c>
      <c r="B419" s="101">
        <v>48</v>
      </c>
      <c r="C419" s="43">
        <v>109</v>
      </c>
      <c r="D419" s="106">
        <v>1.6890984816079075</v>
      </c>
      <c r="E419" s="106">
        <f t="shared" si="4"/>
        <v>8.4170101463777574</v>
      </c>
      <c r="H419" s="43"/>
      <c r="I419" s="43"/>
      <c r="J419" s="43"/>
      <c r="K419" s="43"/>
      <c r="R419" s="43"/>
      <c r="S419" s="43"/>
      <c r="T419" s="43"/>
    </row>
    <row r="420" spans="1:20" x14ac:dyDescent="0.25">
      <c r="A420" s="8" t="s">
        <v>279</v>
      </c>
      <c r="B420" s="101">
        <v>48</v>
      </c>
      <c r="C420" s="43">
        <v>111</v>
      </c>
      <c r="D420" s="106">
        <v>2.8579540338787153</v>
      </c>
      <c r="E420" s="106">
        <f t="shared" si="4"/>
        <v>8.375443788589946</v>
      </c>
      <c r="H420" s="43"/>
      <c r="I420" s="43"/>
      <c r="J420" s="43"/>
      <c r="K420" s="43"/>
      <c r="R420" s="43"/>
      <c r="S420" s="43"/>
      <c r="T420" s="43"/>
    </row>
    <row r="421" spans="1:20" x14ac:dyDescent="0.25">
      <c r="A421" s="8" t="s">
        <v>279</v>
      </c>
      <c r="B421" s="101">
        <v>48</v>
      </c>
      <c r="C421" s="43">
        <v>112</v>
      </c>
      <c r="D421" s="106">
        <v>1.1243969226348718</v>
      </c>
      <c r="E421" s="106">
        <f t="shared" si="4"/>
        <v>8.3550003253657845</v>
      </c>
      <c r="H421" s="43"/>
      <c r="I421" s="43"/>
      <c r="J421" s="43"/>
      <c r="K421" s="43"/>
      <c r="R421" s="43"/>
      <c r="S421" s="43"/>
      <c r="T421" s="43"/>
    </row>
    <row r="422" spans="1:20" x14ac:dyDescent="0.25">
      <c r="A422" s="8" t="s">
        <v>279</v>
      </c>
      <c r="B422" s="101">
        <v>48</v>
      </c>
      <c r="C422" s="43">
        <v>113</v>
      </c>
      <c r="D422" s="106">
        <v>4.02922047864707</v>
      </c>
      <c r="E422" s="106">
        <f t="shared" si="4"/>
        <v>8.3347774645786714</v>
      </c>
    </row>
    <row r="423" spans="1:20" x14ac:dyDescent="0.25">
      <c r="A423" s="8" t="s">
        <v>279</v>
      </c>
      <c r="B423" s="101">
        <v>48</v>
      </c>
      <c r="C423" s="43">
        <v>114</v>
      </c>
      <c r="D423" s="106">
        <v>2.2628788789977383</v>
      </c>
      <c r="E423" s="106">
        <f t="shared" si="4"/>
        <v>8.3147709540916903</v>
      </c>
    </row>
    <row r="424" spans="1:20" x14ac:dyDescent="0.25">
      <c r="A424" s="8" t="s">
        <v>279</v>
      </c>
      <c r="B424" s="101">
        <v>48</v>
      </c>
      <c r="C424" s="43">
        <v>115</v>
      </c>
      <c r="D424" s="106">
        <v>5.1538986635049477</v>
      </c>
      <c r="E424" s="106">
        <f t="shared" si="4"/>
        <v>8.2949766595003691</v>
      </c>
    </row>
    <row r="425" spans="1:20" x14ac:dyDescent="0.25">
      <c r="A425" s="8" t="s">
        <v>279</v>
      </c>
      <c r="B425" s="102">
        <v>48</v>
      </c>
      <c r="C425" s="42">
        <v>116</v>
      </c>
      <c r="D425" s="83">
        <v>3.2432743666885804</v>
      </c>
      <c r="E425" s="106">
        <f t="shared" si="4"/>
        <v>8.2753905598953192</v>
      </c>
    </row>
    <row r="426" spans="1:20" x14ac:dyDescent="0.25">
      <c r="A426" s="8" t="s">
        <v>280</v>
      </c>
      <c r="B426" s="102">
        <v>49</v>
      </c>
      <c r="C426" s="15">
        <v>108</v>
      </c>
      <c r="D426" s="83">
        <v>1.4962787152861767</v>
      </c>
      <c r="E426" s="106">
        <f t="shared" si="4"/>
        <v>8.6139368034899544</v>
      </c>
    </row>
    <row r="427" spans="1:20" x14ac:dyDescent="0.25">
      <c r="A427" s="8" t="s">
        <v>280</v>
      </c>
      <c r="B427" s="102">
        <v>49</v>
      </c>
      <c r="C427" s="15">
        <v>110</v>
      </c>
      <c r="D427" s="83">
        <v>3.1328010454706487</v>
      </c>
      <c r="E427" s="106">
        <f t="shared" si="4"/>
        <v>8.5710312333170524</v>
      </c>
    </row>
    <row r="428" spans="1:20" x14ac:dyDescent="0.25">
      <c r="A428" s="8" t="s">
        <v>280</v>
      </c>
      <c r="B428" s="102">
        <v>49</v>
      </c>
      <c r="C428" s="15">
        <v>111</v>
      </c>
      <c r="D428" s="83">
        <v>1.2382342775952953</v>
      </c>
      <c r="E428" s="106">
        <f t="shared" si="4"/>
        <v>8.549932200852238</v>
      </c>
    </row>
    <row r="429" spans="1:20" x14ac:dyDescent="0.25">
      <c r="A429" s="8" t="s">
        <v>280</v>
      </c>
      <c r="B429" s="102">
        <v>49</v>
      </c>
      <c r="C429" s="15">
        <v>112</v>
      </c>
      <c r="D429" s="83">
        <v>4.3648052770119889</v>
      </c>
      <c r="E429" s="106">
        <f t="shared" si="4"/>
        <v>8.5290628321442377</v>
      </c>
    </row>
    <row r="430" spans="1:20" x14ac:dyDescent="0.25">
      <c r="A430" s="8" t="s">
        <v>280</v>
      </c>
      <c r="B430" s="102">
        <v>49</v>
      </c>
      <c r="C430" s="15">
        <v>113</v>
      </c>
      <c r="D430" s="83">
        <v>2.6679377051758268</v>
      </c>
      <c r="E430" s="106">
        <f t="shared" si="4"/>
        <v>8.5084186617573927</v>
      </c>
    </row>
    <row r="431" spans="1:20" x14ac:dyDescent="0.25">
      <c r="A431" s="8" t="s">
        <v>280</v>
      </c>
      <c r="B431" s="102">
        <v>49</v>
      </c>
      <c r="C431" s="15">
        <v>114</v>
      </c>
      <c r="D431" s="83">
        <v>5.6893410760778469</v>
      </c>
      <c r="E431" s="106">
        <f t="shared" si="4"/>
        <v>8.4879953489686013</v>
      </c>
    </row>
    <row r="432" spans="1:20" x14ac:dyDescent="0.25">
      <c r="A432" s="8" t="s">
        <v>280</v>
      </c>
      <c r="B432" s="102">
        <v>49</v>
      </c>
      <c r="C432" s="15">
        <v>115</v>
      </c>
      <c r="D432" s="83">
        <v>4.2021388352000013</v>
      </c>
      <c r="E432" s="106">
        <f t="shared" si="4"/>
        <v>8.4677886732399603</v>
      </c>
    </row>
    <row r="433" spans="1:38" x14ac:dyDescent="0.25">
      <c r="A433" s="8" t="s">
        <v>280</v>
      </c>
      <c r="B433" s="102">
        <v>49</v>
      </c>
      <c r="C433" s="15">
        <v>116</v>
      </c>
      <c r="D433" s="83">
        <v>6.9752772031870922</v>
      </c>
      <c r="E433" s="106">
        <f t="shared" si="4"/>
        <v>8.4477945298931374</v>
      </c>
    </row>
    <row r="434" spans="1:38" x14ac:dyDescent="0.25">
      <c r="A434" s="8" t="s">
        <v>280</v>
      </c>
      <c r="B434" s="102">
        <v>49</v>
      </c>
      <c r="C434" s="15">
        <v>117</v>
      </c>
      <c r="D434" s="83">
        <v>5.1609751663883072</v>
      </c>
      <c r="E434" s="106">
        <f t="shared" si="4"/>
        <v>8.4280089259747974</v>
      </c>
    </row>
    <row r="435" spans="1:38" x14ac:dyDescent="0.25">
      <c r="A435" s="8" t="s">
        <v>280</v>
      </c>
      <c r="B435" s="102">
        <v>49</v>
      </c>
      <c r="C435" s="15">
        <v>118</v>
      </c>
      <c r="D435" s="83">
        <v>7.9043549727697711</v>
      </c>
      <c r="E435" s="106">
        <f t="shared" si="4"/>
        <v>8.4084279763031393</v>
      </c>
      <c r="AL435" s="53"/>
    </row>
    <row r="436" spans="1:38" x14ac:dyDescent="0.25">
      <c r="A436" s="8" t="s">
        <v>280</v>
      </c>
      <c r="B436" s="102">
        <v>49</v>
      </c>
      <c r="C436" s="15">
        <v>119</v>
      </c>
      <c r="D436" s="83">
        <v>6.0419957584990893</v>
      </c>
      <c r="E436" s="106">
        <f t="shared" si="4"/>
        <v>8.3890478996861724</v>
      </c>
      <c r="AL436" s="53"/>
    </row>
    <row r="437" spans="1:38" x14ac:dyDescent="0.25">
      <c r="A437" s="8" t="s">
        <v>280</v>
      </c>
      <c r="B437" s="102">
        <v>49</v>
      </c>
      <c r="C437" s="15">
        <v>120</v>
      </c>
      <c r="D437" s="83">
        <v>9.1003382748879726</v>
      </c>
      <c r="E437" s="106">
        <f t="shared" si="4"/>
        <v>8.3698650153028709</v>
      </c>
      <c r="AL437" s="53"/>
    </row>
    <row r="438" spans="1:38" x14ac:dyDescent="0.25">
      <c r="A438" s="8" t="s">
        <v>280</v>
      </c>
      <c r="B438" s="102">
        <v>49</v>
      </c>
      <c r="C438" s="15">
        <v>121</v>
      </c>
      <c r="D438" s="83">
        <v>7.0621295057809501</v>
      </c>
      <c r="E438" s="106">
        <f t="shared" si="4"/>
        <v>8.3508757392389246</v>
      </c>
      <c r="AL438" s="53"/>
    </row>
    <row r="439" spans="1:38" x14ac:dyDescent="0.25">
      <c r="A439" s="8" t="s">
        <v>281</v>
      </c>
      <c r="B439" s="102">
        <v>50</v>
      </c>
      <c r="C439" s="15">
        <v>115</v>
      </c>
      <c r="D439" s="83">
        <v>0.66896554178825096</v>
      </c>
      <c r="E439" s="106">
        <f t="shared" si="4"/>
        <v>8.6406006869795515</v>
      </c>
      <c r="AL439" s="53"/>
    </row>
    <row r="440" spans="1:38" x14ac:dyDescent="0.25">
      <c r="A440" s="8" t="s">
        <v>281</v>
      </c>
      <c r="B440" s="102">
        <v>50</v>
      </c>
      <c r="C440" s="15">
        <v>117</v>
      </c>
      <c r="D440" s="83">
        <v>1.9615133931144884</v>
      </c>
      <c r="E440" s="106">
        <f t="shared" si="4"/>
        <v>8.6000091081375487</v>
      </c>
      <c r="AL440" s="53"/>
    </row>
    <row r="441" spans="1:38" x14ac:dyDescent="0.25">
      <c r="A441" s="8" t="s">
        <v>281</v>
      </c>
      <c r="B441" s="102">
        <v>50</v>
      </c>
      <c r="C441" s="15">
        <v>119</v>
      </c>
      <c r="D441" s="83">
        <v>3.1244464204948823</v>
      </c>
      <c r="E441" s="106">
        <f t="shared" si="4"/>
        <v>8.5602529588634422</v>
      </c>
      <c r="AL441" s="53"/>
    </row>
    <row r="442" spans="1:38" x14ac:dyDescent="0.25">
      <c r="A442" s="8" t="s">
        <v>281</v>
      </c>
      <c r="B442" s="102">
        <v>50</v>
      </c>
      <c r="C442" s="15">
        <v>120</v>
      </c>
      <c r="D442" s="83">
        <v>1.0219294717249292</v>
      </c>
      <c r="E442" s="106">
        <f t="shared" si="4"/>
        <v>8.5406785870437467</v>
      </c>
      <c r="AL442" s="53"/>
    </row>
    <row r="443" spans="1:38" x14ac:dyDescent="0.25">
      <c r="A443" s="8" t="s">
        <v>281</v>
      </c>
      <c r="B443" s="102">
        <v>50</v>
      </c>
      <c r="C443" s="15">
        <v>121</v>
      </c>
      <c r="D443" s="83">
        <v>4.0947718814468494</v>
      </c>
      <c r="E443" s="106">
        <f t="shared" si="4"/>
        <v>8.5213017747335975</v>
      </c>
      <c r="AL443" s="53"/>
    </row>
    <row r="444" spans="1:38" x14ac:dyDescent="0.25">
      <c r="A444" s="8" t="s">
        <v>281</v>
      </c>
      <c r="B444" s="102">
        <v>50</v>
      </c>
      <c r="C444" s="15">
        <v>122</v>
      </c>
      <c r="D444" s="83">
        <v>2.0848519236700995</v>
      </c>
      <c r="E444" s="106">
        <f t="shared" si="4"/>
        <v>8.5021189603768601</v>
      </c>
      <c r="AL444" s="53"/>
    </row>
    <row r="445" spans="1:38" x14ac:dyDescent="0.25">
      <c r="A445" s="8" t="s">
        <v>281</v>
      </c>
      <c r="B445" s="102">
        <v>50</v>
      </c>
      <c r="C445" s="15">
        <v>123</v>
      </c>
      <c r="D445" s="83">
        <v>5.1034869939059702</v>
      </c>
      <c r="E445" s="106">
        <f t="shared" si="4"/>
        <v>8.4831266746737981</v>
      </c>
      <c r="AL445" s="53"/>
    </row>
    <row r="446" spans="1:38" x14ac:dyDescent="0.25">
      <c r="A446" s="8" t="s">
        <v>281</v>
      </c>
      <c r="B446" s="102">
        <v>50</v>
      </c>
      <c r="C446" s="15">
        <v>124</v>
      </c>
      <c r="D446" s="83">
        <v>3.0817801228956521</v>
      </c>
      <c r="E446" s="106">
        <f t="shared" si="4"/>
        <v>8.464321537473408</v>
      </c>
      <c r="AL446" s="53"/>
    </row>
    <row r="447" spans="1:38" x14ac:dyDescent="0.25">
      <c r="A447" s="8" t="s">
        <v>282</v>
      </c>
      <c r="B447" s="102">
        <v>51</v>
      </c>
      <c r="C447" s="15">
        <v>114</v>
      </c>
      <c r="D447" s="83">
        <v>1.0192544874843514</v>
      </c>
      <c r="E447" s="106">
        <f t="shared" si="4"/>
        <v>8.8344441387224215</v>
      </c>
      <c r="AL447" s="53"/>
    </row>
    <row r="448" spans="1:38" x14ac:dyDescent="0.25">
      <c r="A448" s="8" t="s">
        <v>282</v>
      </c>
      <c r="B448" s="102">
        <v>51</v>
      </c>
      <c r="C448" s="15">
        <v>116</v>
      </c>
      <c r="D448" s="83">
        <v>2.1420048071536089</v>
      </c>
      <c r="E448" s="106">
        <f t="shared" si="4"/>
        <v>8.7926024698887755</v>
      </c>
      <c r="AL448" s="53"/>
    </row>
    <row r="449" spans="1:38" x14ac:dyDescent="0.25">
      <c r="A449" s="8" t="s">
        <v>282</v>
      </c>
      <c r="B449" s="102">
        <v>51</v>
      </c>
      <c r="C449" s="15">
        <v>117</v>
      </c>
      <c r="D449" s="83">
        <v>0.20240525170787596</v>
      </c>
      <c r="E449" s="106">
        <f t="shared" si="4"/>
        <v>8.7720092903002982</v>
      </c>
      <c r="AL449" s="53"/>
    </row>
    <row r="450" spans="1:38" x14ac:dyDescent="0.25">
      <c r="A450" s="8" t="s">
        <v>282</v>
      </c>
      <c r="B450" s="102">
        <v>51</v>
      </c>
      <c r="C450" s="15">
        <v>118</v>
      </c>
      <c r="D450" s="83">
        <v>3.4120470692515297</v>
      </c>
      <c r="E450" s="106">
        <f t="shared" si="4"/>
        <v>8.7516291181930619</v>
      </c>
      <c r="AL450" s="53"/>
    </row>
    <row r="451" spans="1:38" x14ac:dyDescent="0.25">
      <c r="A451" s="8" t="s">
        <v>282</v>
      </c>
      <c r="B451" s="102">
        <v>51</v>
      </c>
      <c r="C451" s="15">
        <v>119</v>
      </c>
      <c r="D451" s="83">
        <v>1.4105590535260917</v>
      </c>
      <c r="E451" s="106">
        <f t="shared" si="4"/>
        <v>8.7314580180407102</v>
      </c>
    </row>
    <row r="452" spans="1:38" x14ac:dyDescent="0.25">
      <c r="A452" s="8" t="s">
        <v>282</v>
      </c>
      <c r="B452" s="102">
        <v>51</v>
      </c>
      <c r="C452" s="15">
        <v>120</v>
      </c>
      <c r="D452" s="83">
        <v>4.6911594808958847</v>
      </c>
      <c r="E452" s="106">
        <f t="shared" si="4"/>
        <v>8.7114921587846208</v>
      </c>
    </row>
    <row r="453" spans="1:38" x14ac:dyDescent="0.25">
      <c r="A453" s="8" t="s">
        <v>282</v>
      </c>
      <c r="B453" s="102">
        <v>51</v>
      </c>
      <c r="C453" s="15">
        <v>121</v>
      </c>
      <c r="D453" s="83">
        <v>2.6282448390877442</v>
      </c>
      <c r="E453" s="106">
        <f t="shared" si="4"/>
        <v>8.6917278102282687</v>
      </c>
    </row>
    <row r="454" spans="1:38" x14ac:dyDescent="0.25">
      <c r="A454" s="8" t="s">
        <v>282</v>
      </c>
      <c r="B454" s="102">
        <v>51</v>
      </c>
      <c r="C454" s="15">
        <v>122</v>
      </c>
      <c r="D454" s="83">
        <v>5.6871843217417251</v>
      </c>
      <c r="E454" s="106">
        <f t="shared" si="4"/>
        <v>8.6721613395843971</v>
      </c>
    </row>
    <row r="455" spans="1:38" x14ac:dyDescent="0.25">
      <c r="A455" s="8" t="s">
        <v>282</v>
      </c>
      <c r="B455" s="102">
        <v>51</v>
      </c>
      <c r="C455" s="15">
        <v>123</v>
      </c>
      <c r="D455" s="83">
        <v>3.6564374331598297</v>
      </c>
      <c r="E455" s="106">
        <f t="shared" si="4"/>
        <v>8.6527892081672739</v>
      </c>
    </row>
    <row r="456" spans="1:38" x14ac:dyDescent="0.25">
      <c r="A456" s="8" t="s">
        <v>282</v>
      </c>
      <c r="B456" s="102">
        <v>51</v>
      </c>
      <c r="C456" s="15">
        <v>124</v>
      </c>
      <c r="D456" s="83">
        <v>6.6096634550670039</v>
      </c>
      <c r="E456" s="106">
        <f t="shared" si="4"/>
        <v>8.6336079682228775</v>
      </c>
    </row>
    <row r="457" spans="1:38" x14ac:dyDescent="0.25">
      <c r="A457" s="8" t="s">
        <v>282</v>
      </c>
      <c r="B457" s="102">
        <v>51</v>
      </c>
      <c r="C457" s="15">
        <v>125</v>
      </c>
      <c r="D457" s="83">
        <v>4.475711618038777</v>
      </c>
      <c r="E457" s="106">
        <f t="shared" si="4"/>
        <v>8.6146142598901996</v>
      </c>
    </row>
    <row r="458" spans="1:38" x14ac:dyDescent="0.25">
      <c r="A458" s="8" t="s">
        <v>282</v>
      </c>
      <c r="B458" s="102">
        <v>51</v>
      </c>
      <c r="C458" s="15">
        <v>126</v>
      </c>
      <c r="D458" s="83">
        <v>7.3681291437102656</v>
      </c>
      <c r="E458" s="106">
        <f t="shared" ref="E458:E521" si="5">B458/(1+C458^0.33)</f>
        <v>8.5958048082872356</v>
      </c>
    </row>
    <row r="459" spans="1:38" x14ac:dyDescent="0.25">
      <c r="A459" s="8" t="s">
        <v>282</v>
      </c>
      <c r="B459" s="102">
        <v>51</v>
      </c>
      <c r="C459" s="15">
        <v>127</v>
      </c>
      <c r="D459" s="83">
        <v>5.2889018868534299</v>
      </c>
      <c r="E459" s="106">
        <f t="shared" si="5"/>
        <v>8.5771764207155918</v>
      </c>
    </row>
    <row r="460" spans="1:38" x14ac:dyDescent="0.25">
      <c r="A460" s="8" t="s">
        <v>283</v>
      </c>
      <c r="B460" s="102">
        <v>52</v>
      </c>
      <c r="C460" s="15">
        <v>121</v>
      </c>
      <c r="D460" s="83">
        <v>1.3321609546877908</v>
      </c>
      <c r="E460" s="106">
        <f t="shared" si="5"/>
        <v>8.8621538457229398</v>
      </c>
    </row>
    <row r="461" spans="1:38" x14ac:dyDescent="0.25">
      <c r="A461" s="8" t="s">
        <v>283</v>
      </c>
      <c r="B461" s="102">
        <v>52</v>
      </c>
      <c r="C461" s="15">
        <v>123</v>
      </c>
      <c r="D461" s="83">
        <v>2.5046473360946715</v>
      </c>
      <c r="E461" s="106">
        <f t="shared" si="5"/>
        <v>8.8224517416607497</v>
      </c>
    </row>
    <row r="462" spans="1:38" x14ac:dyDescent="0.25">
      <c r="A462" s="8" t="s">
        <v>283</v>
      </c>
      <c r="B462" s="102">
        <v>52</v>
      </c>
      <c r="C462" s="15">
        <v>124</v>
      </c>
      <c r="D462" s="83">
        <v>0.54121902916694598</v>
      </c>
      <c r="E462" s="106">
        <f t="shared" si="5"/>
        <v>8.8028943989723452</v>
      </c>
    </row>
    <row r="463" spans="1:38" x14ac:dyDescent="0.25">
      <c r="A463" s="8" t="s">
        <v>283</v>
      </c>
      <c r="B463" s="102">
        <v>52</v>
      </c>
      <c r="C463" s="15">
        <v>125</v>
      </c>
      <c r="D463" s="83">
        <v>3.5308657110738797</v>
      </c>
      <c r="E463" s="106">
        <f t="shared" si="5"/>
        <v>8.7835282649860869</v>
      </c>
    </row>
    <row r="464" spans="1:38" x14ac:dyDescent="0.25">
      <c r="A464" s="8" t="s">
        <v>283</v>
      </c>
      <c r="B464" s="102">
        <v>52</v>
      </c>
      <c r="C464" s="15">
        <v>126</v>
      </c>
      <c r="D464" s="83">
        <v>1.5506389268717065</v>
      </c>
      <c r="E464" s="106">
        <f t="shared" si="5"/>
        <v>8.7643500006065942</v>
      </c>
    </row>
    <row r="465" spans="1:5" x14ac:dyDescent="0.25">
      <c r="A465" s="8" t="s">
        <v>283</v>
      </c>
      <c r="B465" s="102">
        <v>52</v>
      </c>
      <c r="C465" s="15">
        <v>127</v>
      </c>
      <c r="D465" s="83">
        <v>4.4023501621423682</v>
      </c>
      <c r="E465" s="106">
        <f t="shared" si="5"/>
        <v>8.7453563505335445</v>
      </c>
    </row>
    <row r="466" spans="1:5" x14ac:dyDescent="0.25">
      <c r="A466" s="8" t="s">
        <v>283</v>
      </c>
      <c r="B466" s="102">
        <v>52</v>
      </c>
      <c r="C466" s="15">
        <v>128</v>
      </c>
      <c r="D466" s="83">
        <v>2.4499964706827453</v>
      </c>
      <c r="E466" s="106">
        <f t="shared" si="5"/>
        <v>8.7265441405266522</v>
      </c>
    </row>
    <row r="467" spans="1:5" x14ac:dyDescent="0.25">
      <c r="A467" s="8" t="s">
        <v>283</v>
      </c>
      <c r="B467" s="102">
        <v>52</v>
      </c>
      <c r="C467" s="15">
        <v>129</v>
      </c>
      <c r="D467" s="83">
        <v>5.2062904496873941</v>
      </c>
      <c r="E467" s="106">
        <f t="shared" si="5"/>
        <v>8.7079102747802466</v>
      </c>
    </row>
    <row r="468" spans="1:5" x14ac:dyDescent="0.25">
      <c r="A468" s="8" t="s">
        <v>283</v>
      </c>
      <c r="B468" s="102">
        <v>52</v>
      </c>
      <c r="C468" s="15">
        <v>130</v>
      </c>
      <c r="D468" s="83">
        <v>3.2582944003487193</v>
      </c>
      <c r="E468" s="106">
        <f t="shared" si="5"/>
        <v>8.689451733402306</v>
      </c>
    </row>
    <row r="469" spans="1:5" x14ac:dyDescent="0.25">
      <c r="A469" s="8" t="s">
        <v>284</v>
      </c>
      <c r="B469" s="102">
        <v>53</v>
      </c>
      <c r="C469" s="15">
        <v>122</v>
      </c>
      <c r="D469" s="83">
        <v>2.7115903211146724</v>
      </c>
      <c r="E469" s="106">
        <f t="shared" si="5"/>
        <v>9.012246097999471</v>
      </c>
    </row>
    <row r="470" spans="1:5" x14ac:dyDescent="0.25">
      <c r="A470" s="8" t="s">
        <v>284</v>
      </c>
      <c r="B470" s="102">
        <v>53</v>
      </c>
      <c r="C470" s="15">
        <v>123</v>
      </c>
      <c r="D470" s="83">
        <v>1.0298007950231935</v>
      </c>
      <c r="E470" s="106">
        <f t="shared" si="5"/>
        <v>8.9921142751542256</v>
      </c>
    </row>
    <row r="471" spans="1:5" x14ac:dyDescent="0.25">
      <c r="A471" s="8" t="s">
        <v>284</v>
      </c>
      <c r="B471" s="102">
        <v>53</v>
      </c>
      <c r="C471" s="15">
        <v>124</v>
      </c>
      <c r="D471" s="83">
        <v>3.797110223339732</v>
      </c>
      <c r="E471" s="106">
        <f t="shared" si="5"/>
        <v>8.9721808297218129</v>
      </c>
    </row>
    <row r="472" spans="1:5" x14ac:dyDescent="0.25">
      <c r="A472" s="8" t="s">
        <v>284</v>
      </c>
      <c r="B472" s="102">
        <v>53</v>
      </c>
      <c r="C472" s="15">
        <v>125</v>
      </c>
      <c r="D472" s="83">
        <v>1.9710125173841346</v>
      </c>
      <c r="E472" s="106">
        <f t="shared" si="5"/>
        <v>8.9524422700819724</v>
      </c>
    </row>
    <row r="473" spans="1:5" x14ac:dyDescent="0.25">
      <c r="A473" s="8" t="s">
        <v>284</v>
      </c>
      <c r="B473" s="102">
        <v>53</v>
      </c>
      <c r="C473" s="15">
        <v>126</v>
      </c>
      <c r="D473" s="83">
        <v>3.7088014403744025</v>
      </c>
      <c r="E473" s="106">
        <f t="shared" si="5"/>
        <v>8.932895192925951</v>
      </c>
    </row>
    <row r="474" spans="1:5" x14ac:dyDescent="0.25">
      <c r="A474" s="8" t="s">
        <v>284</v>
      </c>
      <c r="B474" s="102">
        <v>53</v>
      </c>
      <c r="C474" s="15">
        <v>127</v>
      </c>
      <c r="D474" s="83">
        <v>3.0447220149819154</v>
      </c>
      <c r="E474" s="106">
        <f t="shared" si="5"/>
        <v>8.9135362803514973</v>
      </c>
    </row>
    <row r="475" spans="1:5" x14ac:dyDescent="0.25">
      <c r="A475" s="8" t="s">
        <v>284</v>
      </c>
      <c r="B475" s="102">
        <v>53</v>
      </c>
      <c r="C475" s="15">
        <v>128</v>
      </c>
      <c r="D475" s="83">
        <v>5.8340775818302513</v>
      </c>
      <c r="E475" s="106">
        <f t="shared" si="5"/>
        <v>8.8943622970752418</v>
      </c>
    </row>
    <row r="476" spans="1:5" x14ac:dyDescent="0.25">
      <c r="A476" s="8" t="s">
        <v>284</v>
      </c>
      <c r="B476" s="102">
        <v>53</v>
      </c>
      <c r="C476" s="15">
        <v>129</v>
      </c>
      <c r="D476" s="83">
        <v>3.9007158400208346</v>
      </c>
      <c r="E476" s="106">
        <f t="shared" si="5"/>
        <v>8.8753700877567887</v>
      </c>
    </row>
    <row r="477" spans="1:5" x14ac:dyDescent="0.25">
      <c r="A477" s="8" t="s">
        <v>284</v>
      </c>
      <c r="B477" s="102">
        <v>53</v>
      </c>
      <c r="C477" s="15">
        <v>130</v>
      </c>
      <c r="D477" s="83">
        <v>6.6888175904267371</v>
      </c>
      <c r="E477" s="106">
        <f t="shared" si="5"/>
        <v>8.8565565744292734</v>
      </c>
    </row>
    <row r="478" spans="1:5" x14ac:dyDescent="0.25">
      <c r="A478" s="8" t="s">
        <v>284</v>
      </c>
      <c r="B478" s="102">
        <v>53</v>
      </c>
      <c r="C478" s="15">
        <v>131</v>
      </c>
      <c r="D478" s="83">
        <v>4.6799260733439523</v>
      </c>
      <c r="E478" s="106">
        <f t="shared" si="5"/>
        <v>8.8379187540313335</v>
      </c>
    </row>
    <row r="479" spans="1:5" x14ac:dyDescent="0.25">
      <c r="A479" s="8" t="s">
        <v>284</v>
      </c>
      <c r="B479" s="102">
        <v>53</v>
      </c>
      <c r="C479" s="15">
        <v>132</v>
      </c>
      <c r="D479" s="83">
        <v>7.2842521119868096</v>
      </c>
      <c r="E479" s="106">
        <f t="shared" si="5"/>
        <v>8.8194536960358079</v>
      </c>
    </row>
    <row r="480" spans="1:5" x14ac:dyDescent="0.25">
      <c r="A480" s="8" t="s">
        <v>284</v>
      </c>
      <c r="B480" s="102">
        <v>53</v>
      </c>
      <c r="C480" s="15">
        <v>133</v>
      </c>
      <c r="D480" s="83">
        <v>5.4670119587638357</v>
      </c>
      <c r="E480" s="106">
        <f t="shared" si="5"/>
        <v>8.8011585401706167</v>
      </c>
    </row>
    <row r="481" spans="1:5" x14ac:dyDescent="0.25">
      <c r="A481" s="8" t="s">
        <v>285</v>
      </c>
      <c r="B481" s="102">
        <v>54</v>
      </c>
      <c r="C481" s="15">
        <v>125</v>
      </c>
      <c r="D481" s="83">
        <v>0.63557230440441304</v>
      </c>
      <c r="E481" s="106">
        <f t="shared" si="5"/>
        <v>9.1213562751778596</v>
      </c>
    </row>
    <row r="482" spans="1:5" x14ac:dyDescent="0.25">
      <c r="A482" s="8" t="s">
        <v>285</v>
      </c>
      <c r="B482" s="102">
        <v>54</v>
      </c>
      <c r="C482" s="15">
        <v>126</v>
      </c>
      <c r="D482" s="83">
        <v>0.10834464765400134</v>
      </c>
      <c r="E482" s="106">
        <f t="shared" si="5"/>
        <v>9.1014403852453079</v>
      </c>
    </row>
    <row r="483" spans="1:5" x14ac:dyDescent="0.25">
      <c r="A483" s="8" t="s">
        <v>285</v>
      </c>
      <c r="B483" s="102">
        <v>54</v>
      </c>
      <c r="C483" s="15">
        <v>127</v>
      </c>
      <c r="D483" s="83">
        <v>1.596541546348996</v>
      </c>
      <c r="E483" s="106">
        <f t="shared" si="5"/>
        <v>9.08171621016945</v>
      </c>
    </row>
    <row r="484" spans="1:5" x14ac:dyDescent="0.25">
      <c r="A484" s="8" t="s">
        <v>285</v>
      </c>
      <c r="B484" s="102">
        <v>54</v>
      </c>
      <c r="C484" s="15">
        <v>129</v>
      </c>
      <c r="D484" s="83">
        <v>2.5742023336157254</v>
      </c>
      <c r="E484" s="106">
        <f t="shared" si="5"/>
        <v>9.0428299007333326</v>
      </c>
    </row>
    <row r="485" spans="1:5" x14ac:dyDescent="0.25">
      <c r="A485" s="8" t="s">
        <v>285</v>
      </c>
      <c r="B485" s="102">
        <v>54</v>
      </c>
      <c r="C485" s="15">
        <v>130</v>
      </c>
      <c r="D485" s="83">
        <v>0.68281849079532231</v>
      </c>
      <c r="E485" s="106">
        <f t="shared" si="5"/>
        <v>9.0236614154562407</v>
      </c>
    </row>
    <row r="486" spans="1:5" x14ac:dyDescent="0.25">
      <c r="A486" s="8" t="s">
        <v>285</v>
      </c>
      <c r="B486" s="102">
        <v>54</v>
      </c>
      <c r="C486" s="15">
        <v>131</v>
      </c>
      <c r="D486" s="83">
        <v>3.3543105554012889</v>
      </c>
      <c r="E486" s="106">
        <f t="shared" si="5"/>
        <v>9.0046719380696612</v>
      </c>
    </row>
    <row r="487" spans="1:5" x14ac:dyDescent="0.25">
      <c r="A487" s="8" t="s">
        <v>285</v>
      </c>
      <c r="B487" s="102">
        <v>54</v>
      </c>
      <c r="C487" s="15">
        <v>132</v>
      </c>
      <c r="D487" s="83">
        <v>1.595107314106843</v>
      </c>
      <c r="E487" s="106">
        <f t="shared" si="5"/>
        <v>8.9858584827534642</v>
      </c>
    </row>
    <row r="488" spans="1:5" x14ac:dyDescent="0.25">
      <c r="A488" s="8" t="s">
        <v>285</v>
      </c>
      <c r="B488" s="102">
        <v>54</v>
      </c>
      <c r="C488" s="15">
        <v>133</v>
      </c>
      <c r="D488" s="83">
        <v>4.1365920985277196</v>
      </c>
      <c r="E488" s="106">
        <f t="shared" si="5"/>
        <v>8.9672181352681744</v>
      </c>
    </row>
    <row r="489" spans="1:5" x14ac:dyDescent="0.25">
      <c r="A489" s="8" t="s">
        <v>285</v>
      </c>
      <c r="B489" s="102">
        <v>54</v>
      </c>
      <c r="C489" s="15">
        <v>134</v>
      </c>
      <c r="D489" s="83">
        <v>2.4933184384347378</v>
      </c>
      <c r="E489" s="106">
        <f t="shared" si="5"/>
        <v>8.9487480507224948</v>
      </c>
    </row>
    <row r="490" spans="1:5" x14ac:dyDescent="0.25">
      <c r="A490" s="8" t="s">
        <v>285</v>
      </c>
      <c r="B490" s="102">
        <v>54</v>
      </c>
      <c r="C490" s="15">
        <v>135</v>
      </c>
      <c r="D490" s="83">
        <v>4.8672113317267662</v>
      </c>
      <c r="E490" s="106">
        <f t="shared" si="5"/>
        <v>8.9304454514263512</v>
      </c>
    </row>
    <row r="491" spans="1:5" x14ac:dyDescent="0.25">
      <c r="A491" s="8" t="s">
        <v>285</v>
      </c>
      <c r="B491" s="102">
        <v>54</v>
      </c>
      <c r="C491" s="15">
        <v>136</v>
      </c>
      <c r="D491" s="83">
        <v>3.6414851423744095</v>
      </c>
      <c r="E491" s="106">
        <f t="shared" si="5"/>
        <v>8.9123076248256208</v>
      </c>
    </row>
    <row r="492" spans="1:5" x14ac:dyDescent="0.25">
      <c r="A492" s="8" t="s">
        <v>286</v>
      </c>
      <c r="B492" s="102">
        <v>55</v>
      </c>
      <c r="C492" s="15">
        <v>126</v>
      </c>
      <c r="D492" s="83">
        <v>1.9374789676849038</v>
      </c>
      <c r="E492" s="106">
        <f t="shared" si="5"/>
        <v>9.2699855775646665</v>
      </c>
    </row>
    <row r="493" spans="1:5" x14ac:dyDescent="0.25">
      <c r="A493" s="8" t="s">
        <v>286</v>
      </c>
      <c r="B493" s="102">
        <v>55</v>
      </c>
      <c r="C493" s="15">
        <v>127</v>
      </c>
      <c r="D493" s="83">
        <v>0.24358673081503104</v>
      </c>
      <c r="E493" s="106">
        <f t="shared" si="5"/>
        <v>9.2498961399874027</v>
      </c>
    </row>
    <row r="494" spans="1:5" x14ac:dyDescent="0.25">
      <c r="A494" s="8" t="s">
        <v>286</v>
      </c>
      <c r="B494" s="102">
        <v>55</v>
      </c>
      <c r="C494" s="15">
        <v>128</v>
      </c>
      <c r="D494" s="83">
        <v>3.2562958209816855</v>
      </c>
      <c r="E494" s="106">
        <f t="shared" si="5"/>
        <v>9.2299986101724212</v>
      </c>
    </row>
    <row r="495" spans="1:5" x14ac:dyDescent="0.25">
      <c r="A495" s="8" t="s">
        <v>286</v>
      </c>
      <c r="B495" s="102">
        <v>55</v>
      </c>
      <c r="C495" s="15">
        <v>129</v>
      </c>
      <c r="D495" s="83">
        <v>1.2590415475876784</v>
      </c>
      <c r="E495" s="106">
        <f t="shared" si="5"/>
        <v>9.2102897137098765</v>
      </c>
    </row>
    <row r="496" spans="1:5" x14ac:dyDescent="0.25">
      <c r="A496" s="8" t="s">
        <v>286</v>
      </c>
      <c r="B496" s="102">
        <v>55</v>
      </c>
      <c r="C496" s="15">
        <v>130</v>
      </c>
      <c r="D496" s="83">
        <v>4.1494212873612923</v>
      </c>
      <c r="E496" s="106">
        <f t="shared" si="5"/>
        <v>9.190766256483208</v>
      </c>
    </row>
    <row r="497" spans="1:5" x14ac:dyDescent="0.25">
      <c r="A497" s="8" t="s">
        <v>286</v>
      </c>
      <c r="B497" s="102">
        <v>55</v>
      </c>
      <c r="C497" s="15">
        <v>131</v>
      </c>
      <c r="D497" s="83">
        <v>2.3671930860099377</v>
      </c>
      <c r="E497" s="106">
        <f t="shared" si="5"/>
        <v>9.171425122107987</v>
      </c>
    </row>
    <row r="498" spans="1:5" x14ac:dyDescent="0.25">
      <c r="A498" s="8" t="s">
        <v>286</v>
      </c>
      <c r="B498" s="102">
        <v>55</v>
      </c>
      <c r="C498" s="15">
        <v>132</v>
      </c>
      <c r="D498" s="83">
        <v>4.9870035210962618</v>
      </c>
      <c r="E498" s="106">
        <f t="shared" si="5"/>
        <v>9.1522632694711206</v>
      </c>
    </row>
    <row r="499" spans="1:5" x14ac:dyDescent="0.25">
      <c r="A499" s="8" t="s">
        <v>286</v>
      </c>
      <c r="B499" s="102">
        <v>55</v>
      </c>
      <c r="C499" s="15">
        <v>133</v>
      </c>
      <c r="D499" s="83">
        <v>3.1886165967212508</v>
      </c>
      <c r="E499" s="106">
        <f t="shared" si="5"/>
        <v>9.1332777303657338</v>
      </c>
    </row>
    <row r="500" spans="1:5" x14ac:dyDescent="0.25">
      <c r="A500" s="8" t="s">
        <v>286</v>
      </c>
      <c r="B500" s="102">
        <v>55</v>
      </c>
      <c r="C500" s="15">
        <v>134</v>
      </c>
      <c r="D500" s="83">
        <v>5.765593489586279</v>
      </c>
      <c r="E500" s="106">
        <f t="shared" si="5"/>
        <v>9.1144656072173564</v>
      </c>
    </row>
    <row r="501" spans="1:5" x14ac:dyDescent="0.25">
      <c r="A501" s="8" t="s">
        <v>286</v>
      </c>
      <c r="B501" s="102">
        <v>55</v>
      </c>
      <c r="C501" s="15">
        <v>135</v>
      </c>
      <c r="D501" s="83">
        <v>3.9142367833009342</v>
      </c>
      <c r="E501" s="106">
        <f t="shared" si="5"/>
        <v>9.0958240708972085</v>
      </c>
    </row>
    <row r="502" spans="1:5" x14ac:dyDescent="0.25">
      <c r="A502" s="8" t="s">
        <v>286</v>
      </c>
      <c r="B502" s="102">
        <v>55</v>
      </c>
      <c r="C502" s="15">
        <v>136</v>
      </c>
      <c r="D502" s="83">
        <v>6.254809322753772</v>
      </c>
      <c r="E502" s="106">
        <f t="shared" si="5"/>
        <v>9.0773503586186877</v>
      </c>
    </row>
    <row r="503" spans="1:5" x14ac:dyDescent="0.25">
      <c r="A503" s="8" t="s">
        <v>286</v>
      </c>
      <c r="B503" s="102">
        <v>55</v>
      </c>
      <c r="C503" s="15">
        <v>137</v>
      </c>
      <c r="D503" s="83">
        <v>4.881302646852876</v>
      </c>
      <c r="E503" s="106">
        <f t="shared" si="5"/>
        <v>9.0590417719132343</v>
      </c>
    </row>
    <row r="504" spans="1:5" x14ac:dyDescent="0.25">
      <c r="A504" s="8" t="s">
        <v>286</v>
      </c>
      <c r="B504" s="102">
        <v>55</v>
      </c>
      <c r="C504" s="15">
        <v>138</v>
      </c>
      <c r="D504" s="83">
        <v>9.1987359192164639</v>
      </c>
      <c r="E504" s="106">
        <f t="shared" si="5"/>
        <v>9.0408956746821101</v>
      </c>
    </row>
    <row r="505" spans="1:5" x14ac:dyDescent="0.25">
      <c r="A505" s="8" t="s">
        <v>287</v>
      </c>
      <c r="B505" s="102">
        <v>56</v>
      </c>
      <c r="C505" s="15">
        <v>131</v>
      </c>
      <c r="D505" s="83">
        <v>0.7463890368663022</v>
      </c>
      <c r="E505" s="106">
        <f t="shared" si="5"/>
        <v>9.3381783061463146</v>
      </c>
    </row>
    <row r="506" spans="1:5" x14ac:dyDescent="0.25">
      <c r="A506" s="8" t="s">
        <v>287</v>
      </c>
      <c r="B506" s="102">
        <v>56</v>
      </c>
      <c r="C506" s="15">
        <v>133</v>
      </c>
      <c r="D506" s="83">
        <v>1.7063961569566564</v>
      </c>
      <c r="E506" s="106">
        <f t="shared" si="5"/>
        <v>9.2993373254632932</v>
      </c>
    </row>
    <row r="507" spans="1:5" x14ac:dyDescent="0.25">
      <c r="A507" s="8" t="s">
        <v>287</v>
      </c>
      <c r="B507" s="102">
        <v>56</v>
      </c>
      <c r="C507" s="15">
        <v>135</v>
      </c>
      <c r="D507" s="83">
        <v>2.5092385266007637</v>
      </c>
      <c r="E507" s="106">
        <f t="shared" si="5"/>
        <v>9.2612026903680675</v>
      </c>
    </row>
    <row r="508" spans="1:5" x14ac:dyDescent="0.25">
      <c r="A508" s="8" t="s">
        <v>287</v>
      </c>
      <c r="B508" s="102">
        <v>56</v>
      </c>
      <c r="C508" s="15">
        <v>136</v>
      </c>
      <c r="D508" s="83">
        <v>0.83053409872705586</v>
      </c>
      <c r="E508" s="106">
        <f t="shared" si="5"/>
        <v>9.2423930924117546</v>
      </c>
    </row>
    <row r="509" spans="1:5" x14ac:dyDescent="0.25">
      <c r="A509" s="8" t="s">
        <v>287</v>
      </c>
      <c r="B509" s="102">
        <v>56</v>
      </c>
      <c r="C509" s="15">
        <v>137</v>
      </c>
      <c r="D509" s="83">
        <v>3.1096680265941141</v>
      </c>
      <c r="E509" s="106">
        <f t="shared" si="5"/>
        <v>9.2237516223116565</v>
      </c>
    </row>
    <row r="510" spans="1:5" x14ac:dyDescent="0.25">
      <c r="A510" s="8" t="s">
        <v>287</v>
      </c>
      <c r="B510" s="102">
        <v>56</v>
      </c>
      <c r="C510" s="15">
        <v>138</v>
      </c>
      <c r="D510" s="83">
        <v>1.9589338606250914</v>
      </c>
      <c r="E510" s="106">
        <f t="shared" si="5"/>
        <v>9.2052755960399679</v>
      </c>
    </row>
    <row r="511" spans="1:5" x14ac:dyDescent="0.25">
      <c r="A511" s="8" t="s">
        <v>288</v>
      </c>
      <c r="B511" s="102">
        <v>57</v>
      </c>
      <c r="C511" s="15">
        <v>132</v>
      </c>
      <c r="D511" s="83">
        <v>2.3112892981277224</v>
      </c>
      <c r="E511" s="106">
        <f t="shared" si="5"/>
        <v>9.485072842906435</v>
      </c>
    </row>
    <row r="512" spans="1:5" x14ac:dyDescent="0.25">
      <c r="A512" s="8" t="s">
        <v>288</v>
      </c>
      <c r="B512" s="102">
        <v>57</v>
      </c>
      <c r="C512" s="15">
        <v>133</v>
      </c>
      <c r="D512" s="83">
        <v>0.29687602539271596</v>
      </c>
      <c r="E512" s="106">
        <f t="shared" si="5"/>
        <v>9.4653969205608508</v>
      </c>
    </row>
    <row r="513" spans="1:5" x14ac:dyDescent="0.25">
      <c r="A513" s="8" t="s">
        <v>288</v>
      </c>
      <c r="B513" s="102">
        <v>57</v>
      </c>
      <c r="C513" s="15">
        <v>134</v>
      </c>
      <c r="D513" s="83">
        <v>3.2082449385493312</v>
      </c>
      <c r="E513" s="106">
        <f t="shared" si="5"/>
        <v>9.4459007202070779</v>
      </c>
    </row>
    <row r="514" spans="1:5" x14ac:dyDescent="0.25">
      <c r="A514" s="8" t="s">
        <v>288</v>
      </c>
      <c r="B514" s="102">
        <v>57</v>
      </c>
      <c r="C514" s="15">
        <v>135</v>
      </c>
      <c r="D514" s="83">
        <v>1.5888105722710597</v>
      </c>
      <c r="E514" s="106">
        <f t="shared" si="5"/>
        <v>9.4265813098389266</v>
      </c>
    </row>
    <row r="515" spans="1:5" x14ac:dyDescent="0.25">
      <c r="A515" s="8" t="s">
        <v>288</v>
      </c>
      <c r="B515" s="102">
        <v>57</v>
      </c>
      <c r="C515" s="15">
        <v>136</v>
      </c>
      <c r="D515" s="83">
        <v>4.1749479167117993</v>
      </c>
      <c r="E515" s="106">
        <f t="shared" si="5"/>
        <v>9.4074358262048232</v>
      </c>
    </row>
    <row r="516" spans="1:5" x14ac:dyDescent="0.25">
      <c r="A516" s="8" t="s">
        <v>288</v>
      </c>
      <c r="B516" s="102">
        <v>57</v>
      </c>
      <c r="C516" s="15">
        <v>137</v>
      </c>
      <c r="D516" s="83">
        <v>2.4888504198041321</v>
      </c>
      <c r="E516" s="106">
        <f t="shared" si="5"/>
        <v>9.3884614727100786</v>
      </c>
    </row>
    <row r="517" spans="1:5" x14ac:dyDescent="0.25">
      <c r="A517" s="8" t="s">
        <v>288</v>
      </c>
      <c r="B517" s="102">
        <v>57</v>
      </c>
      <c r="C517" s="15">
        <v>138</v>
      </c>
      <c r="D517" s="83">
        <v>4.7501855070027448</v>
      </c>
      <c r="E517" s="106">
        <f t="shared" si="5"/>
        <v>9.369655517397824</v>
      </c>
    </row>
    <row r="518" spans="1:5" x14ac:dyDescent="0.25">
      <c r="A518" s="8" t="s">
        <v>288</v>
      </c>
      <c r="B518" s="102">
        <v>57</v>
      </c>
      <c r="C518" s="15">
        <v>139</v>
      </c>
      <c r="D518" s="83">
        <v>3.4451560232666472</v>
      </c>
      <c r="E518" s="106">
        <f t="shared" si="5"/>
        <v>9.3510152910050657</v>
      </c>
    </row>
    <row r="519" spans="1:5" x14ac:dyDescent="0.25">
      <c r="A519" s="8" t="s">
        <v>288</v>
      </c>
      <c r="B519" s="102">
        <v>57</v>
      </c>
      <c r="C519" s="15">
        <v>140</v>
      </c>
      <c r="D519" s="83">
        <v>7.464420008262258</v>
      </c>
      <c r="E519" s="106">
        <f t="shared" si="5"/>
        <v>9.3325381850905806</v>
      </c>
    </row>
    <row r="520" spans="1:5" x14ac:dyDescent="0.25">
      <c r="A520" s="8" t="s">
        <v>289</v>
      </c>
      <c r="B520" s="102">
        <v>58</v>
      </c>
      <c r="C520" s="15">
        <v>137</v>
      </c>
      <c r="D520" s="83">
        <v>1.0031931871493887</v>
      </c>
      <c r="E520" s="106">
        <f t="shared" si="5"/>
        <v>9.5531713231085007</v>
      </c>
    </row>
    <row r="521" spans="1:5" x14ac:dyDescent="0.25">
      <c r="A521" s="8" t="s">
        <v>289</v>
      </c>
      <c r="B521" s="102">
        <v>58</v>
      </c>
      <c r="C521" s="15">
        <v>139</v>
      </c>
      <c r="D521" s="83">
        <v>1.5947295620188113</v>
      </c>
      <c r="E521" s="106">
        <f t="shared" si="5"/>
        <v>9.5150681908472592</v>
      </c>
    </row>
    <row r="522" spans="1:5" x14ac:dyDescent="0.25">
      <c r="A522" s="8" t="s">
        <v>289</v>
      </c>
      <c r="B522" s="102">
        <v>58</v>
      </c>
      <c r="C522" s="15">
        <v>140</v>
      </c>
      <c r="D522" s="83">
        <v>0.3102591545794513</v>
      </c>
      <c r="E522" s="106">
        <f t="shared" ref="E522:E585" si="6">B522/(1+C522^0.33)</f>
        <v>9.4962669251798886</v>
      </c>
    </row>
    <row r="523" spans="1:5" x14ac:dyDescent="0.25">
      <c r="A523" s="8" t="s">
        <v>289</v>
      </c>
      <c r="B523" s="102">
        <v>58</v>
      </c>
      <c r="C523" s="15">
        <v>141</v>
      </c>
      <c r="D523" s="83">
        <v>4.2888065376479556</v>
      </c>
      <c r="E523" s="106">
        <f t="shared" si="6"/>
        <v>9.4776290476039993</v>
      </c>
    </row>
    <row r="524" spans="1:5" x14ac:dyDescent="0.25">
      <c r="A524" s="8" t="s">
        <v>289</v>
      </c>
      <c r="B524" s="102">
        <v>58</v>
      </c>
      <c r="C524" s="15">
        <v>142</v>
      </c>
      <c r="D524" s="83">
        <v>2.9655241983810163</v>
      </c>
      <c r="E524" s="106">
        <f t="shared" si="6"/>
        <v>9.4591520222556138</v>
      </c>
    </row>
    <row r="525" spans="1:5" x14ac:dyDescent="0.25">
      <c r="A525" s="8" t="s">
        <v>290</v>
      </c>
      <c r="B525" s="102">
        <v>59</v>
      </c>
      <c r="C525" s="15">
        <v>136</v>
      </c>
      <c r="D525" s="83">
        <v>1.489802971833968</v>
      </c>
      <c r="E525" s="106">
        <f t="shared" si="6"/>
        <v>9.737521293790957</v>
      </c>
    </row>
    <row r="526" spans="1:5" x14ac:dyDescent="0.25">
      <c r="A526" s="8" t="s">
        <v>290</v>
      </c>
      <c r="B526" s="102">
        <v>59</v>
      </c>
      <c r="C526" s="15">
        <v>138</v>
      </c>
      <c r="D526" s="83">
        <v>2.6092058794131661</v>
      </c>
      <c r="E526" s="106">
        <f t="shared" si="6"/>
        <v>9.6984153601135379</v>
      </c>
    </row>
    <row r="527" spans="1:5" x14ac:dyDescent="0.25">
      <c r="A527" s="8" t="s">
        <v>290</v>
      </c>
      <c r="B527" s="102">
        <v>59</v>
      </c>
      <c r="C527" s="15">
        <v>139</v>
      </c>
      <c r="D527" s="83">
        <v>0.90683182261123707</v>
      </c>
      <c r="E527" s="106">
        <f t="shared" si="6"/>
        <v>9.6791210906894527</v>
      </c>
    </row>
    <row r="528" spans="1:5" x14ac:dyDescent="0.25">
      <c r="A528" s="8" t="s">
        <v>290</v>
      </c>
      <c r="B528" s="102">
        <v>59</v>
      </c>
      <c r="C528" s="15">
        <v>140</v>
      </c>
      <c r="D528" s="83">
        <v>3.2430758772083172</v>
      </c>
      <c r="E528" s="106">
        <f t="shared" si="6"/>
        <v>9.6599956652691983</v>
      </c>
    </row>
    <row r="529" spans="1:5" x14ac:dyDescent="0.25">
      <c r="A529" s="8" t="s">
        <v>290</v>
      </c>
      <c r="B529" s="102">
        <v>59</v>
      </c>
      <c r="C529" s="15">
        <v>141</v>
      </c>
      <c r="D529" s="83">
        <v>1.8937836614254837</v>
      </c>
      <c r="E529" s="106">
        <f t="shared" si="6"/>
        <v>9.641036444976482</v>
      </c>
    </row>
    <row r="530" spans="1:5" x14ac:dyDescent="0.25">
      <c r="A530" s="8" t="s">
        <v>290</v>
      </c>
      <c r="B530" s="102">
        <v>59</v>
      </c>
      <c r="C530" s="15">
        <v>142</v>
      </c>
      <c r="D530" s="83">
        <v>5.8657006723155609</v>
      </c>
      <c r="E530" s="106">
        <f t="shared" si="6"/>
        <v>9.6222408502255377</v>
      </c>
    </row>
    <row r="531" spans="1:5" x14ac:dyDescent="0.25">
      <c r="A531" s="8" t="s">
        <v>290</v>
      </c>
      <c r="B531" s="102">
        <v>59</v>
      </c>
      <c r="C531" s="15">
        <v>143</v>
      </c>
      <c r="D531" s="83">
        <v>4.6444242005610183</v>
      </c>
      <c r="E531" s="106">
        <f t="shared" si="6"/>
        <v>9.6036063589875109</v>
      </c>
    </row>
    <row r="532" spans="1:5" x14ac:dyDescent="0.25">
      <c r="A532" s="8" t="s">
        <v>290</v>
      </c>
      <c r="B532" s="102">
        <v>59</v>
      </c>
      <c r="C532" s="15">
        <v>144</v>
      </c>
      <c r="D532" s="83">
        <v>6.7016962282378278</v>
      </c>
      <c r="E532" s="106">
        <f t="shared" si="6"/>
        <v>9.585130505119162</v>
      </c>
    </row>
    <row r="533" spans="1:5" x14ac:dyDescent="0.25">
      <c r="A533" s="8" t="s">
        <v>290</v>
      </c>
      <c r="B533" s="102">
        <v>59</v>
      </c>
      <c r="C533" s="15">
        <v>145</v>
      </c>
      <c r="D533" s="83">
        <v>5.5134415694473393</v>
      </c>
      <c r="E533" s="106">
        <f t="shared" si="6"/>
        <v>9.566810876751207</v>
      </c>
    </row>
    <row r="534" spans="1:5" x14ac:dyDescent="0.25">
      <c r="A534" s="8" t="s">
        <v>290</v>
      </c>
      <c r="B534" s="102">
        <v>59</v>
      </c>
      <c r="C534" s="15">
        <v>146</v>
      </c>
      <c r="D534" s="83">
        <v>7.7874683455760456</v>
      </c>
      <c r="E534" s="106">
        <f t="shared" si="6"/>
        <v>9.5486451147337785</v>
      </c>
    </row>
    <row r="535" spans="1:5" x14ac:dyDescent="0.25">
      <c r="A535" s="8" t="s">
        <v>290</v>
      </c>
      <c r="B535" s="102">
        <v>59</v>
      </c>
      <c r="C535" s="15">
        <v>147</v>
      </c>
      <c r="D535" s="83">
        <v>6.4081519882817499</v>
      </c>
      <c r="E535" s="106">
        <f t="shared" si="6"/>
        <v>9.5306309111366119</v>
      </c>
    </row>
    <row r="536" spans="1:5" x14ac:dyDescent="0.25">
      <c r="A536" s="8" t="s">
        <v>291</v>
      </c>
      <c r="B536" s="102">
        <v>60</v>
      </c>
      <c r="C536" s="15">
        <v>143</v>
      </c>
      <c r="D536" s="83">
        <v>2.6682406903441129</v>
      </c>
      <c r="E536" s="106">
        <f t="shared" si="6"/>
        <v>9.7663793481228929</v>
      </c>
    </row>
    <row r="537" spans="1:5" x14ac:dyDescent="0.25">
      <c r="A537" s="8" t="s">
        <v>291</v>
      </c>
      <c r="B537" s="102">
        <v>60</v>
      </c>
      <c r="C537" s="15">
        <v>144</v>
      </c>
      <c r="D537" s="83">
        <v>1.3772909760173726</v>
      </c>
      <c r="E537" s="106">
        <f t="shared" si="6"/>
        <v>9.7475903441889784</v>
      </c>
    </row>
    <row r="538" spans="1:5" x14ac:dyDescent="0.25">
      <c r="A538" s="8" t="s">
        <v>291</v>
      </c>
      <c r="B538" s="102">
        <v>60</v>
      </c>
      <c r="C538" s="15">
        <v>145</v>
      </c>
      <c r="D538" s="83">
        <v>3.5498040654218852</v>
      </c>
      <c r="E538" s="106">
        <f t="shared" si="6"/>
        <v>9.7289602136452942</v>
      </c>
    </row>
    <row r="539" spans="1:5" x14ac:dyDescent="0.25">
      <c r="A539" s="8" t="s">
        <v>291</v>
      </c>
      <c r="B539" s="102">
        <v>60</v>
      </c>
      <c r="C539" s="15">
        <v>146</v>
      </c>
      <c r="D539" s="83">
        <v>2.227288449302157</v>
      </c>
      <c r="E539" s="106">
        <f t="shared" si="6"/>
        <v>9.7104865573563863</v>
      </c>
    </row>
    <row r="540" spans="1:5" x14ac:dyDescent="0.25">
      <c r="A540" s="8" t="s">
        <v>291</v>
      </c>
      <c r="B540" s="102">
        <v>60</v>
      </c>
      <c r="C540" s="15">
        <v>147</v>
      </c>
      <c r="D540" s="83">
        <v>4.6055738731893552</v>
      </c>
      <c r="E540" s="106">
        <f t="shared" si="6"/>
        <v>9.6921670282745218</v>
      </c>
    </row>
    <row r="541" spans="1:5" x14ac:dyDescent="0.25">
      <c r="A541" s="8" t="s">
        <v>291</v>
      </c>
      <c r="B541" s="102">
        <v>60</v>
      </c>
      <c r="C541" s="15">
        <v>148</v>
      </c>
      <c r="D541" s="83">
        <v>3.1736377104747571</v>
      </c>
      <c r="E541" s="106">
        <f t="shared" si="6"/>
        <v>9.6739993299677938</v>
      </c>
    </row>
    <row r="542" spans="1:5" x14ac:dyDescent="0.25">
      <c r="A542" s="8" t="s">
        <v>291</v>
      </c>
      <c r="B542" s="102">
        <v>60</v>
      </c>
      <c r="C542" s="15">
        <v>149</v>
      </c>
      <c r="D542" s="83">
        <v>5.3983595545388994</v>
      </c>
      <c r="E542" s="106">
        <f t="shared" si="6"/>
        <v>9.6559812151993452</v>
      </c>
    </row>
    <row r="543" spans="1:5" x14ac:dyDescent="0.25">
      <c r="A543" s="8" t="s">
        <v>291</v>
      </c>
      <c r="B543" s="102">
        <v>60</v>
      </c>
      <c r="C543" s="15">
        <v>150</v>
      </c>
      <c r="D543" s="83">
        <v>3.5798651447878926</v>
      </c>
      <c r="E543" s="106">
        <f t="shared" si="6"/>
        <v>9.638110484555602</v>
      </c>
    </row>
    <row r="544" spans="1:5" x14ac:dyDescent="0.25">
      <c r="A544" s="8" t="s">
        <v>292</v>
      </c>
      <c r="B544" s="102">
        <v>61</v>
      </c>
      <c r="C544" s="15">
        <v>143</v>
      </c>
      <c r="D544" s="83">
        <v>0.25001546462865215</v>
      </c>
      <c r="E544" s="106">
        <f t="shared" si="6"/>
        <v>9.9291523372582748</v>
      </c>
    </row>
    <row r="545" spans="1:5" x14ac:dyDescent="0.25">
      <c r="A545" s="8" t="s">
        <v>292</v>
      </c>
      <c r="B545" s="102">
        <v>61</v>
      </c>
      <c r="C545" s="15">
        <v>144</v>
      </c>
      <c r="D545" s="83">
        <v>4.257334838908899</v>
      </c>
      <c r="E545" s="106">
        <f t="shared" si="6"/>
        <v>9.9100501832587948</v>
      </c>
    </row>
    <row r="546" spans="1:5" x14ac:dyDescent="0.25">
      <c r="A546" s="8" t="s">
        <v>292</v>
      </c>
      <c r="B546" s="102">
        <v>61</v>
      </c>
      <c r="C546" s="15">
        <v>145</v>
      </c>
      <c r="D546" s="83">
        <v>3.0961470691601352</v>
      </c>
      <c r="E546" s="106">
        <f t="shared" si="6"/>
        <v>9.8911095505393831</v>
      </c>
    </row>
    <row r="547" spans="1:5" x14ac:dyDescent="0.25">
      <c r="A547" s="8" t="s">
        <v>292</v>
      </c>
      <c r="B547" s="102">
        <v>61</v>
      </c>
      <c r="C547" s="15">
        <v>146</v>
      </c>
      <c r="D547" s="83">
        <v>5.25120341656093</v>
      </c>
      <c r="E547" s="106">
        <f t="shared" si="6"/>
        <v>9.8723279999789924</v>
      </c>
    </row>
    <row r="548" spans="1:5" x14ac:dyDescent="0.25">
      <c r="A548" s="8" t="s">
        <v>292</v>
      </c>
      <c r="B548" s="102">
        <v>61</v>
      </c>
      <c r="C548" s="15">
        <v>147</v>
      </c>
      <c r="D548" s="83">
        <v>3.9344802108168753</v>
      </c>
      <c r="E548" s="106">
        <f t="shared" si="6"/>
        <v>9.85370314541243</v>
      </c>
    </row>
    <row r="549" spans="1:5" x14ac:dyDescent="0.25">
      <c r="A549" s="8" t="s">
        <v>292</v>
      </c>
      <c r="B549" s="102">
        <v>61</v>
      </c>
      <c r="C549" s="15">
        <v>148</v>
      </c>
      <c r="D549" s="83">
        <v>6.1711267671154113</v>
      </c>
      <c r="E549" s="106">
        <f t="shared" si="6"/>
        <v>9.8352326521339233</v>
      </c>
    </row>
    <row r="550" spans="1:5" x14ac:dyDescent="0.25">
      <c r="A550" s="8" t="s">
        <v>292</v>
      </c>
      <c r="B550" s="102">
        <v>61</v>
      </c>
      <c r="C550" s="15">
        <v>149</v>
      </c>
      <c r="D550" s="83">
        <v>4.7806250473502612</v>
      </c>
      <c r="E550" s="106">
        <f t="shared" si="6"/>
        <v>9.8169142354526677</v>
      </c>
    </row>
    <row r="551" spans="1:5" x14ac:dyDescent="0.25">
      <c r="A551" s="8" t="s">
        <v>292</v>
      </c>
      <c r="B551" s="102">
        <v>61</v>
      </c>
      <c r="C551" s="15">
        <v>150</v>
      </c>
      <c r="D551" s="83">
        <v>7.2032198006965062</v>
      </c>
      <c r="E551" s="106">
        <f t="shared" si="6"/>
        <v>9.798745659298195</v>
      </c>
    </row>
    <row r="552" spans="1:5" x14ac:dyDescent="0.25">
      <c r="A552" s="8" t="s">
        <v>292</v>
      </c>
      <c r="B552" s="102">
        <v>61</v>
      </c>
      <c r="C552" s="15">
        <v>151</v>
      </c>
      <c r="D552" s="83">
        <v>4.8970438183099034</v>
      </c>
      <c r="E552" s="106">
        <f t="shared" si="6"/>
        <v>9.7807247348735586</v>
      </c>
    </row>
    <row r="553" spans="1:5" x14ac:dyDescent="0.25">
      <c r="A553" s="8" t="s">
        <v>292</v>
      </c>
      <c r="B553" s="102">
        <v>61</v>
      </c>
      <c r="C553" s="15">
        <v>152</v>
      </c>
      <c r="D553" s="83">
        <v>7.179212640886691</v>
      </c>
      <c r="E553" s="106">
        <f t="shared" si="6"/>
        <v>9.7628493193543662</v>
      </c>
    </row>
    <row r="554" spans="1:5" x14ac:dyDescent="0.25">
      <c r="A554" s="8" t="s">
        <v>293</v>
      </c>
      <c r="B554" s="102">
        <v>62</v>
      </c>
      <c r="C554" s="15">
        <v>145</v>
      </c>
      <c r="D554" s="83">
        <v>0.98519319641678116</v>
      </c>
      <c r="E554" s="106">
        <f t="shared" si="6"/>
        <v>10.053258887433472</v>
      </c>
    </row>
    <row r="555" spans="1:5" x14ac:dyDescent="0.25">
      <c r="A555" s="8" t="s">
        <v>293</v>
      </c>
      <c r="B555" s="102">
        <v>62</v>
      </c>
      <c r="C555" s="15">
        <v>147</v>
      </c>
      <c r="D555" s="83">
        <v>1.9791214362951735</v>
      </c>
      <c r="E555" s="106">
        <f t="shared" si="6"/>
        <v>10.015239262550338</v>
      </c>
    </row>
    <row r="556" spans="1:5" x14ac:dyDescent="0.25">
      <c r="A556" s="8" t="s">
        <v>293</v>
      </c>
      <c r="B556" s="102">
        <v>62</v>
      </c>
      <c r="C556" s="15">
        <v>148</v>
      </c>
      <c r="D556" s="83">
        <v>0.60356204142890579</v>
      </c>
      <c r="E556" s="106">
        <f t="shared" si="6"/>
        <v>9.9964659743000546</v>
      </c>
    </row>
    <row r="557" spans="1:5" x14ac:dyDescent="0.25">
      <c r="A557" s="8" t="s">
        <v>293</v>
      </c>
      <c r="B557" s="102">
        <v>62</v>
      </c>
      <c r="C557" s="15">
        <v>149</v>
      </c>
      <c r="D557" s="83">
        <v>3.0143582052902627</v>
      </c>
      <c r="E557" s="106">
        <f t="shared" si="6"/>
        <v>9.9778472557059903</v>
      </c>
    </row>
    <row r="558" spans="1:5" x14ac:dyDescent="0.25">
      <c r="A558" s="8" t="s">
        <v>293</v>
      </c>
      <c r="B558" s="102">
        <v>62</v>
      </c>
      <c r="C558" s="15">
        <v>150</v>
      </c>
      <c r="D558" s="83">
        <v>1.414190034874651</v>
      </c>
      <c r="E558" s="106">
        <f t="shared" si="6"/>
        <v>9.9593808340407897</v>
      </c>
    </row>
    <row r="559" spans="1:5" x14ac:dyDescent="0.25">
      <c r="A559" s="8" t="s">
        <v>293</v>
      </c>
      <c r="B559" s="102">
        <v>62</v>
      </c>
      <c r="C559" s="15">
        <v>151</v>
      </c>
      <c r="D559" s="83">
        <v>3.7866450808232961</v>
      </c>
      <c r="E559" s="106">
        <f t="shared" si="6"/>
        <v>9.9410644846255849</v>
      </c>
    </row>
    <row r="560" spans="1:5" x14ac:dyDescent="0.25">
      <c r="A560" s="8" t="s">
        <v>293</v>
      </c>
      <c r="B560" s="102">
        <v>62</v>
      </c>
      <c r="C560" s="15">
        <v>152</v>
      </c>
      <c r="D560" s="83">
        <v>1.8319201279353703</v>
      </c>
      <c r="E560" s="106">
        <f t="shared" si="6"/>
        <v>9.9228960295077169</v>
      </c>
    </row>
    <row r="561" spans="1:5" x14ac:dyDescent="0.25">
      <c r="A561" s="8" t="s">
        <v>293</v>
      </c>
      <c r="B561" s="102">
        <v>62</v>
      </c>
      <c r="C561" s="15">
        <v>153</v>
      </c>
      <c r="D561" s="83">
        <v>4.5146973882593091</v>
      </c>
      <c r="E561" s="106">
        <f t="shared" si="6"/>
        <v>9.9048733361831864</v>
      </c>
    </row>
    <row r="562" spans="1:5" x14ac:dyDescent="0.25">
      <c r="A562" s="8" t="s">
        <v>293</v>
      </c>
      <c r="B562" s="102">
        <v>62</v>
      </c>
      <c r="C562" s="15">
        <v>154</v>
      </c>
      <c r="D562" s="83">
        <v>2.9829228134964016</v>
      </c>
      <c r="E562" s="106">
        <f t="shared" si="6"/>
        <v>9.886994316362026</v>
      </c>
    </row>
    <row r="563" spans="1:5" x14ac:dyDescent="0.25">
      <c r="A563" s="8" t="s">
        <v>294</v>
      </c>
      <c r="B563" s="102">
        <v>63</v>
      </c>
      <c r="C563" s="15">
        <v>146</v>
      </c>
      <c r="D563" s="83">
        <v>2.5071053425344303</v>
      </c>
      <c r="E563" s="106">
        <f t="shared" si="6"/>
        <v>10.196010885224204</v>
      </c>
    </row>
    <row r="564" spans="1:5" x14ac:dyDescent="0.25">
      <c r="A564" s="8" t="s">
        <v>294</v>
      </c>
      <c r="B564" s="102">
        <v>63</v>
      </c>
      <c r="C564" s="15">
        <v>147</v>
      </c>
      <c r="D564" s="83">
        <v>1.3793838139893082</v>
      </c>
      <c r="E564" s="106">
        <f t="shared" si="6"/>
        <v>10.176775379688246</v>
      </c>
    </row>
    <row r="565" spans="1:5" x14ac:dyDescent="0.25">
      <c r="A565" s="8" t="s">
        <v>294</v>
      </c>
      <c r="B565" s="102">
        <v>63</v>
      </c>
      <c r="C565" s="15">
        <v>148</v>
      </c>
      <c r="D565" s="83">
        <v>3.74272868693645</v>
      </c>
      <c r="E565" s="106">
        <f t="shared" si="6"/>
        <v>10.157699296466184</v>
      </c>
    </row>
    <row r="566" spans="1:5" x14ac:dyDescent="0.25">
      <c r="A566" s="8" t="s">
        <v>294</v>
      </c>
      <c r="B566" s="102">
        <v>63</v>
      </c>
      <c r="C566" s="15">
        <v>149</v>
      </c>
      <c r="D566" s="83">
        <v>2.4018901863652364</v>
      </c>
      <c r="E566" s="106">
        <f t="shared" si="6"/>
        <v>10.138780275959313</v>
      </c>
    </row>
    <row r="567" spans="1:5" x14ac:dyDescent="0.25">
      <c r="A567" s="8" t="s">
        <v>294</v>
      </c>
      <c r="B567" s="102">
        <v>63</v>
      </c>
      <c r="C567" s="15">
        <v>150</v>
      </c>
      <c r="D567" s="83">
        <v>4.7192674104707324</v>
      </c>
      <c r="E567" s="106">
        <f t="shared" si="6"/>
        <v>10.120016008783383</v>
      </c>
    </row>
    <row r="568" spans="1:5" x14ac:dyDescent="0.25">
      <c r="A568" s="8" t="s">
        <v>294</v>
      </c>
      <c r="B568" s="102">
        <v>63</v>
      </c>
      <c r="C568" s="15">
        <v>151</v>
      </c>
      <c r="D568" s="83">
        <v>3.2278246293831514</v>
      </c>
      <c r="E568" s="106">
        <f t="shared" si="6"/>
        <v>10.101404234377609</v>
      </c>
    </row>
    <row r="569" spans="1:5" x14ac:dyDescent="0.25">
      <c r="A569" s="8" t="s">
        <v>294</v>
      </c>
      <c r="B569" s="102">
        <v>63</v>
      </c>
      <c r="C569" s="15">
        <v>152</v>
      </c>
      <c r="D569" s="83">
        <v>5.5278333409293392</v>
      </c>
      <c r="E569" s="106">
        <f t="shared" si="6"/>
        <v>10.082942739661068</v>
      </c>
    </row>
    <row r="570" spans="1:5" x14ac:dyDescent="0.25">
      <c r="A570" s="8" t="s">
        <v>294</v>
      </c>
      <c r="B570" s="102">
        <v>63</v>
      </c>
      <c r="C570" s="15">
        <v>153</v>
      </c>
      <c r="D570" s="83">
        <v>3.4663877736781634</v>
      </c>
      <c r="E570" s="106">
        <f t="shared" si="6"/>
        <v>10.064629357734528</v>
      </c>
    </row>
    <row r="571" spans="1:5" x14ac:dyDescent="0.25">
      <c r="A571" s="8" t="s">
        <v>294</v>
      </c>
      <c r="B571" s="102">
        <v>63</v>
      </c>
      <c r="C571" s="15">
        <v>154</v>
      </c>
      <c r="D571" s="83">
        <v>5.6860733270661212</v>
      </c>
      <c r="E571" s="106">
        <f t="shared" si="6"/>
        <v>10.04646196662593</v>
      </c>
    </row>
    <row r="572" spans="1:5" x14ac:dyDescent="0.25">
      <c r="A572" s="8" t="s">
        <v>294</v>
      </c>
      <c r="B572" s="102">
        <v>63</v>
      </c>
      <c r="C572" s="15">
        <v>155</v>
      </c>
      <c r="D572" s="83">
        <v>3.9562962055173738</v>
      </c>
      <c r="E572" s="106">
        <f t="shared" si="6"/>
        <v>10.028438488077761</v>
      </c>
    </row>
    <row r="573" spans="1:5" x14ac:dyDescent="0.25">
      <c r="A573" s="8" t="s">
        <v>294</v>
      </c>
      <c r="B573" s="102">
        <v>63</v>
      </c>
      <c r="C573" s="15">
        <v>156</v>
      </c>
      <c r="D573" s="83">
        <v>6.1614315441275505</v>
      </c>
      <c r="E573" s="106">
        <f t="shared" si="6"/>
        <v>10.010556886374648</v>
      </c>
    </row>
    <row r="574" spans="1:5" x14ac:dyDescent="0.25">
      <c r="A574" s="8" t="s">
        <v>294</v>
      </c>
      <c r="B574" s="102">
        <v>63</v>
      </c>
      <c r="C574" s="15">
        <v>157</v>
      </c>
      <c r="D574" s="83">
        <v>5.0694936628688367</v>
      </c>
      <c r="E574" s="106">
        <f t="shared" si="6"/>
        <v>9.9928151672096348</v>
      </c>
    </row>
    <row r="575" spans="1:5" x14ac:dyDescent="0.25">
      <c r="A575" s="8" t="s">
        <v>295</v>
      </c>
      <c r="B575" s="102">
        <v>64</v>
      </c>
      <c r="C575" s="15">
        <v>153</v>
      </c>
      <c r="D575" s="83">
        <v>1.919733646060775</v>
      </c>
      <c r="E575" s="106">
        <f t="shared" si="6"/>
        <v>10.22438537928587</v>
      </c>
    </row>
    <row r="576" spans="1:5" x14ac:dyDescent="0.25">
      <c r="A576" s="8" t="s">
        <v>295</v>
      </c>
      <c r="B576" s="102">
        <v>64</v>
      </c>
      <c r="C576" s="15">
        <v>154</v>
      </c>
      <c r="D576" s="83">
        <v>0.23916999636164094</v>
      </c>
      <c r="E576" s="106">
        <f t="shared" si="6"/>
        <v>10.205929616889835</v>
      </c>
    </row>
    <row r="577" spans="1:5" x14ac:dyDescent="0.25">
      <c r="A577" s="8" t="s">
        <v>295</v>
      </c>
      <c r="B577" s="102">
        <v>64</v>
      </c>
      <c r="C577" s="15">
        <v>155</v>
      </c>
      <c r="D577" s="83">
        <v>2.8953708796087114</v>
      </c>
      <c r="E577" s="106">
        <f t="shared" si="6"/>
        <v>10.187620051380582</v>
      </c>
    </row>
    <row r="578" spans="1:5" x14ac:dyDescent="0.25">
      <c r="A578" s="8" t="s">
        <v>295</v>
      </c>
      <c r="B578" s="102">
        <v>64</v>
      </c>
      <c r="C578" s="15">
        <v>156</v>
      </c>
      <c r="D578" s="83">
        <v>1.269663406853681</v>
      </c>
      <c r="E578" s="106">
        <f t="shared" si="6"/>
        <v>10.1694546147298</v>
      </c>
    </row>
    <row r="579" spans="1:5" x14ac:dyDescent="0.25">
      <c r="A579" s="8" t="s">
        <v>295</v>
      </c>
      <c r="B579" s="102">
        <v>64</v>
      </c>
      <c r="C579" s="15">
        <v>157</v>
      </c>
      <c r="D579" s="83">
        <v>3.6528401041978902</v>
      </c>
      <c r="E579" s="106">
        <f t="shared" si="6"/>
        <v>10.151431280974867</v>
      </c>
    </row>
    <row r="580" spans="1:5" x14ac:dyDescent="0.25">
      <c r="A580" s="8" t="s">
        <v>295</v>
      </c>
      <c r="B580" s="102">
        <v>64</v>
      </c>
      <c r="C580" s="15">
        <v>158</v>
      </c>
      <c r="D580" s="83">
        <v>2.4946706145447735</v>
      </c>
      <c r="E580" s="106">
        <f t="shared" si="6"/>
        <v>10.13354806510486</v>
      </c>
    </row>
    <row r="581" spans="1:5" x14ac:dyDescent="0.25">
      <c r="A581" s="8" t="s">
        <v>295</v>
      </c>
      <c r="B581" s="102">
        <v>64</v>
      </c>
      <c r="C581" s="15">
        <v>159</v>
      </c>
      <c r="D581" s="83">
        <v>4.6853022380927767</v>
      </c>
      <c r="E581" s="106">
        <f t="shared" si="6"/>
        <v>10.115803021982837</v>
      </c>
    </row>
    <row r="582" spans="1:5" x14ac:dyDescent="0.25">
      <c r="A582" s="8" t="s">
        <v>295</v>
      </c>
      <c r="B582" s="102">
        <v>64</v>
      </c>
      <c r="C582" s="15">
        <v>160</v>
      </c>
      <c r="D582" s="83">
        <v>3.6082740562826277</v>
      </c>
      <c r="E582" s="106">
        <f t="shared" si="6"/>
        <v>10.098194245302977</v>
      </c>
    </row>
    <row r="583" spans="1:5" x14ac:dyDescent="0.25">
      <c r="A583" s="8" t="s">
        <v>296</v>
      </c>
      <c r="B583" s="102">
        <v>65</v>
      </c>
      <c r="C583" s="15">
        <v>154</v>
      </c>
      <c r="D583" s="83">
        <v>3.8575564599797807</v>
      </c>
      <c r="E583" s="106">
        <f t="shared" si="6"/>
        <v>10.365397267153737</v>
      </c>
    </row>
    <row r="584" spans="1:5" x14ac:dyDescent="0.25">
      <c r="A584" s="8" t="s">
        <v>296</v>
      </c>
      <c r="B584" s="102">
        <v>65</v>
      </c>
      <c r="C584" s="15">
        <v>155</v>
      </c>
      <c r="D584" s="83">
        <v>1.6088919286722316</v>
      </c>
      <c r="E584" s="106">
        <f t="shared" si="6"/>
        <v>10.346801614683404</v>
      </c>
    </row>
    <row r="585" spans="1:5" x14ac:dyDescent="0.25">
      <c r="A585" s="8" t="s">
        <v>296</v>
      </c>
      <c r="B585" s="102">
        <v>65</v>
      </c>
      <c r="C585" s="15">
        <v>156</v>
      </c>
      <c r="D585" s="83">
        <v>4.1388122179216147</v>
      </c>
      <c r="E585" s="106">
        <f t="shared" si="6"/>
        <v>10.328352343084953</v>
      </c>
    </row>
    <row r="586" spans="1:5" x14ac:dyDescent="0.25">
      <c r="A586" s="8" t="s">
        <v>296</v>
      </c>
      <c r="B586" s="102">
        <v>65</v>
      </c>
      <c r="C586" s="15">
        <v>157</v>
      </c>
      <c r="D586" s="83">
        <v>2.3677972099366333</v>
      </c>
      <c r="E586" s="106">
        <f t="shared" ref="E586:E649" si="7">B586/(1+C586^0.33)</f>
        <v>10.310047394740099</v>
      </c>
    </row>
    <row r="587" spans="1:5" x14ac:dyDescent="0.25">
      <c r="A587" s="8" t="s">
        <v>296</v>
      </c>
      <c r="B587" s="102">
        <v>65</v>
      </c>
      <c r="C587" s="15">
        <v>158</v>
      </c>
      <c r="D587" s="83">
        <v>4.6452374457336418</v>
      </c>
      <c r="E587" s="106">
        <f t="shared" si="7"/>
        <v>10.291884753622123</v>
      </c>
    </row>
    <row r="588" spans="1:5" x14ac:dyDescent="0.25">
      <c r="A588" s="8" t="s">
        <v>296</v>
      </c>
      <c r="B588" s="102">
        <v>65</v>
      </c>
      <c r="C588" s="15">
        <v>159</v>
      </c>
      <c r="D588" s="83">
        <v>3.3446449215396021</v>
      </c>
      <c r="E588" s="106">
        <f t="shared" si="7"/>
        <v>10.273862444201317</v>
      </c>
    </row>
    <row r="589" spans="1:5" x14ac:dyDescent="0.25">
      <c r="A589" s="8" t="s">
        <v>296</v>
      </c>
      <c r="B589" s="102">
        <v>65</v>
      </c>
      <c r="C589" s="15">
        <v>160</v>
      </c>
      <c r="D589" s="83">
        <v>5.5422427841288799</v>
      </c>
      <c r="E589" s="106">
        <f t="shared" si="7"/>
        <v>10.255978530385836</v>
      </c>
    </row>
    <row r="590" spans="1:5" x14ac:dyDescent="0.25">
      <c r="A590" s="8" t="s">
        <v>296</v>
      </c>
      <c r="B590" s="102">
        <v>65</v>
      </c>
      <c r="C590" s="15">
        <v>161</v>
      </c>
      <c r="D590" s="83">
        <v>4.3010150032751424</v>
      </c>
      <c r="E590" s="106">
        <f t="shared" si="7"/>
        <v>10.238231114496617</v>
      </c>
    </row>
    <row r="591" spans="1:5" x14ac:dyDescent="0.25">
      <c r="A591" s="8" t="s">
        <v>296</v>
      </c>
      <c r="B591" s="102">
        <v>65</v>
      </c>
      <c r="C591" s="15">
        <v>162</v>
      </c>
      <c r="D591" s="83">
        <v>6.1255270823781016</v>
      </c>
      <c r="E591" s="106">
        <f t="shared" si="7"/>
        <v>10.220618336275074</v>
      </c>
    </row>
    <row r="592" spans="1:5" x14ac:dyDescent="0.25">
      <c r="A592" s="8" t="s">
        <v>297</v>
      </c>
      <c r="B592" s="102">
        <v>66</v>
      </c>
      <c r="C592" s="15">
        <v>157</v>
      </c>
      <c r="D592" s="83">
        <v>1.164024715188156</v>
      </c>
      <c r="E592" s="106">
        <f t="shared" si="7"/>
        <v>10.468663508505331</v>
      </c>
    </row>
    <row r="593" spans="1:5" x14ac:dyDescent="0.25">
      <c r="A593" s="8" t="s">
        <v>297</v>
      </c>
      <c r="B593" s="102">
        <v>66</v>
      </c>
      <c r="C593" s="15">
        <v>159</v>
      </c>
      <c r="D593" s="83">
        <v>1.8565869290253387</v>
      </c>
      <c r="E593" s="106">
        <f t="shared" si="7"/>
        <v>10.431921866419799</v>
      </c>
    </row>
    <row r="594" spans="1:5" x14ac:dyDescent="0.25">
      <c r="A594" s="8" t="s">
        <v>297</v>
      </c>
      <c r="B594" s="102">
        <v>66</v>
      </c>
      <c r="C594" s="15">
        <v>160</v>
      </c>
      <c r="D594" s="83">
        <v>0.41561286388340057</v>
      </c>
      <c r="E594" s="106">
        <f t="shared" si="7"/>
        <v>10.413762815468695</v>
      </c>
    </row>
    <row r="595" spans="1:5" x14ac:dyDescent="0.25">
      <c r="A595" s="8" t="s">
        <v>297</v>
      </c>
      <c r="B595" s="102">
        <v>66</v>
      </c>
      <c r="C595" s="15">
        <v>161</v>
      </c>
      <c r="D595" s="83">
        <v>2.8574354961733697</v>
      </c>
      <c r="E595" s="106">
        <f t="shared" si="7"/>
        <v>10.39574236241195</v>
      </c>
    </row>
    <row r="596" spans="1:5" x14ac:dyDescent="0.25">
      <c r="A596" s="8" t="s">
        <v>297</v>
      </c>
      <c r="B596" s="102">
        <v>66</v>
      </c>
      <c r="C596" s="15">
        <v>162</v>
      </c>
      <c r="D596" s="83">
        <v>1.5738006203553339</v>
      </c>
      <c r="E596" s="106">
        <f t="shared" si="7"/>
        <v>10.377858618371613</v>
      </c>
    </row>
    <row r="597" spans="1:5" x14ac:dyDescent="0.25">
      <c r="A597" s="8" t="s">
        <v>297</v>
      </c>
      <c r="B597" s="102">
        <v>66</v>
      </c>
      <c r="C597" s="15">
        <v>163</v>
      </c>
      <c r="D597" s="83">
        <v>3.7089793374111117</v>
      </c>
      <c r="E597" s="106">
        <f t="shared" si="7"/>
        <v>10.360109731490304</v>
      </c>
    </row>
    <row r="598" spans="1:5" x14ac:dyDescent="0.25">
      <c r="A598" s="8" t="s">
        <v>297</v>
      </c>
      <c r="B598" s="102">
        <v>66</v>
      </c>
      <c r="C598" s="15">
        <v>164</v>
      </c>
      <c r="D598" s="83">
        <v>2.6823365093464324</v>
      </c>
      <c r="E598" s="106">
        <f t="shared" si="7"/>
        <v>10.342493885986471</v>
      </c>
    </row>
    <row r="599" spans="1:5" x14ac:dyDescent="0.25">
      <c r="A599" s="8" t="s">
        <v>298</v>
      </c>
      <c r="B599" s="102">
        <v>67</v>
      </c>
      <c r="C599" s="15">
        <v>158</v>
      </c>
      <c r="D599" s="83">
        <v>2.3146843361978746</v>
      </c>
      <c r="E599" s="106">
        <f t="shared" si="7"/>
        <v>10.60855813065665</v>
      </c>
    </row>
    <row r="600" spans="1:5" x14ac:dyDescent="0.25">
      <c r="A600" s="8" t="s">
        <v>298</v>
      </c>
      <c r="B600" s="102">
        <v>67</v>
      </c>
      <c r="C600" s="15">
        <v>159</v>
      </c>
      <c r="D600" s="83">
        <v>0.77264446217693805</v>
      </c>
      <c r="E600" s="106">
        <f t="shared" si="7"/>
        <v>10.589981288638281</v>
      </c>
    </row>
    <row r="601" spans="1:5" x14ac:dyDescent="0.25">
      <c r="A601" s="8" t="s">
        <v>298</v>
      </c>
      <c r="B601" s="102">
        <v>67</v>
      </c>
      <c r="C601" s="15">
        <v>160</v>
      </c>
      <c r="D601" s="83">
        <v>3.3754284143672098</v>
      </c>
      <c r="E601" s="106">
        <f t="shared" si="7"/>
        <v>10.571547100551554</v>
      </c>
    </row>
    <row r="602" spans="1:5" x14ac:dyDescent="0.25">
      <c r="A602" s="8" t="s">
        <v>298</v>
      </c>
      <c r="B602" s="102">
        <v>67</v>
      </c>
      <c r="C602" s="15">
        <v>161</v>
      </c>
      <c r="D602" s="83">
        <v>1.7026372963185754</v>
      </c>
      <c r="E602" s="106">
        <f t="shared" si="7"/>
        <v>10.553253610327282</v>
      </c>
    </row>
    <row r="603" spans="1:5" x14ac:dyDescent="0.25">
      <c r="A603" s="8" t="s">
        <v>298</v>
      </c>
      <c r="B603" s="102">
        <v>67</v>
      </c>
      <c r="C603" s="15">
        <v>162</v>
      </c>
      <c r="D603" s="83">
        <v>3.9994433295670979</v>
      </c>
      <c r="E603" s="106">
        <f t="shared" si="7"/>
        <v>10.535098900468153</v>
      </c>
    </row>
    <row r="604" spans="1:5" x14ac:dyDescent="0.25">
      <c r="A604" s="8" t="s">
        <v>298</v>
      </c>
      <c r="B604" s="102">
        <v>67</v>
      </c>
      <c r="C604" s="15">
        <v>163</v>
      </c>
      <c r="D604" s="83">
        <v>2.4986317899609207</v>
      </c>
      <c r="E604" s="106">
        <f t="shared" si="7"/>
        <v>10.517081091058341</v>
      </c>
    </row>
    <row r="605" spans="1:5" x14ac:dyDescent="0.25">
      <c r="A605" s="8" t="s">
        <v>298</v>
      </c>
      <c r="B605" s="102">
        <v>67</v>
      </c>
      <c r="C605" s="15">
        <v>164</v>
      </c>
      <c r="D605" s="83">
        <v>4.7125261168021302</v>
      </c>
      <c r="E605" s="106">
        <f t="shared" si="7"/>
        <v>10.499198338804447</v>
      </c>
    </row>
    <row r="606" spans="1:5" x14ac:dyDescent="0.25">
      <c r="A606" s="8" t="s">
        <v>298</v>
      </c>
      <c r="B606" s="102">
        <v>67</v>
      </c>
      <c r="C606" s="15">
        <v>165</v>
      </c>
      <c r="D606" s="83">
        <v>3.3337241130728992</v>
      </c>
      <c r="E606" s="106">
        <f t="shared" si="7"/>
        <v>10.481448836106493</v>
      </c>
    </row>
    <row r="607" spans="1:5" x14ac:dyDescent="0.25">
      <c r="A607" s="8" t="s">
        <v>298</v>
      </c>
      <c r="B607" s="102">
        <v>67</v>
      </c>
      <c r="C607" s="15">
        <v>166</v>
      </c>
      <c r="D607" s="83">
        <v>5.5639525410111306</v>
      </c>
      <c r="E607" s="106">
        <f t="shared" si="7"/>
        <v>10.4638308101579</v>
      </c>
    </row>
    <row r="608" spans="1:5" x14ac:dyDescent="0.25">
      <c r="A608" s="8" t="s">
        <v>298</v>
      </c>
      <c r="B608" s="102">
        <v>67</v>
      </c>
      <c r="C608" s="15">
        <v>167</v>
      </c>
      <c r="D608" s="83">
        <v>4.6800893199526152</v>
      </c>
      <c r="E608" s="106">
        <f t="shared" si="7"/>
        <v>10.44634252207341</v>
      </c>
    </row>
    <row r="609" spans="1:5" x14ac:dyDescent="0.25">
      <c r="A609" s="8" t="s">
        <v>299</v>
      </c>
      <c r="B609" s="102">
        <v>68</v>
      </c>
      <c r="C609" s="15">
        <v>165</v>
      </c>
      <c r="D609" s="83">
        <v>2.1153929914998657</v>
      </c>
      <c r="E609" s="106">
        <f t="shared" si="7"/>
        <v>10.637888370973753</v>
      </c>
    </row>
    <row r="610" spans="1:5" x14ac:dyDescent="0.25">
      <c r="A610" s="8" t="s">
        <v>299</v>
      </c>
      <c r="B610" s="102">
        <v>68</v>
      </c>
      <c r="C610" s="15">
        <v>166</v>
      </c>
      <c r="D610" s="83">
        <v>0.65780202169125568</v>
      </c>
      <c r="E610" s="106">
        <f t="shared" si="7"/>
        <v>10.620007389413987</v>
      </c>
    </row>
    <row r="611" spans="1:5" x14ac:dyDescent="0.25">
      <c r="A611" s="8" t="s">
        <v>299</v>
      </c>
      <c r="B611" s="102">
        <v>68</v>
      </c>
      <c r="C611" s="15">
        <v>167</v>
      </c>
      <c r="D611" s="83">
        <v>2.9620653702417461</v>
      </c>
      <c r="E611" s="106">
        <f t="shared" si="7"/>
        <v>10.602258082104356</v>
      </c>
    </row>
    <row r="612" spans="1:5" x14ac:dyDescent="0.25">
      <c r="A612" s="8" t="s">
        <v>299</v>
      </c>
      <c r="B612" s="102">
        <v>68</v>
      </c>
      <c r="C612" s="15">
        <v>168</v>
      </c>
      <c r="D612" s="83">
        <v>2.0306266422886652</v>
      </c>
      <c r="E612" s="106">
        <f t="shared" si="7"/>
        <v>10.584638717775849</v>
      </c>
    </row>
    <row r="613" spans="1:5" x14ac:dyDescent="0.25">
      <c r="A613" s="8" t="s">
        <v>299</v>
      </c>
      <c r="B613" s="102">
        <v>68</v>
      </c>
      <c r="C613" s="15">
        <v>169</v>
      </c>
      <c r="D613" s="83">
        <v>4.0630463910352388</v>
      </c>
      <c r="E613" s="106">
        <f t="shared" si="7"/>
        <v>10.567147597897661</v>
      </c>
    </row>
    <row r="614" spans="1:5" x14ac:dyDescent="0.25">
      <c r="A614" s="8" t="s">
        <v>299</v>
      </c>
      <c r="B614" s="102">
        <v>68</v>
      </c>
      <c r="C614" s="15">
        <v>170</v>
      </c>
      <c r="D614" s="83">
        <v>3.3972658420810671</v>
      </c>
      <c r="E614" s="106">
        <f t="shared" si="7"/>
        <v>10.549783055871004</v>
      </c>
    </row>
    <row r="615" spans="1:5" x14ac:dyDescent="0.25">
      <c r="A615" s="8" t="s">
        <v>300</v>
      </c>
      <c r="B615" s="102">
        <v>69</v>
      </c>
      <c r="C615" s="15">
        <v>164</v>
      </c>
      <c r="D615" s="83">
        <v>2.6068269047229542</v>
      </c>
      <c r="E615" s="106">
        <f t="shared" si="7"/>
        <v>10.8126072444404</v>
      </c>
    </row>
    <row r="616" spans="1:5" x14ac:dyDescent="0.25">
      <c r="A616" s="8" t="s">
        <v>300</v>
      </c>
      <c r="B616" s="102">
        <v>69</v>
      </c>
      <c r="C616" s="15">
        <v>165</v>
      </c>
      <c r="D616" s="83">
        <v>0.9436626229058096</v>
      </c>
      <c r="E616" s="106">
        <f t="shared" si="7"/>
        <v>10.794327905841016</v>
      </c>
    </row>
    <row r="617" spans="1:5" x14ac:dyDescent="0.25">
      <c r="A617" s="8" t="s">
        <v>300</v>
      </c>
      <c r="B617" s="102">
        <v>69</v>
      </c>
      <c r="C617" s="15">
        <v>166</v>
      </c>
      <c r="D617" s="83">
        <v>3.41946123966969</v>
      </c>
      <c r="E617" s="106">
        <f t="shared" si="7"/>
        <v>10.776183968670075</v>
      </c>
    </row>
    <row r="618" spans="1:5" x14ac:dyDescent="0.25">
      <c r="A618" s="8" t="s">
        <v>300</v>
      </c>
      <c r="B618" s="102">
        <v>69</v>
      </c>
      <c r="C618" s="15">
        <v>167</v>
      </c>
      <c r="D618" s="83">
        <v>1.7561732019576357</v>
      </c>
      <c r="E618" s="106">
        <f t="shared" si="7"/>
        <v>10.758173642135302</v>
      </c>
    </row>
    <row r="619" spans="1:5" x14ac:dyDescent="0.25">
      <c r="A619" s="8" t="s">
        <v>300</v>
      </c>
      <c r="B619" s="102">
        <v>69</v>
      </c>
      <c r="C619" s="15">
        <v>168</v>
      </c>
      <c r="D619" s="83">
        <v>3.9699038336476824</v>
      </c>
      <c r="E619" s="106">
        <f t="shared" si="7"/>
        <v>10.740295169507847</v>
      </c>
    </row>
    <row r="620" spans="1:5" x14ac:dyDescent="0.25">
      <c r="A620" s="8" t="s">
        <v>300</v>
      </c>
      <c r="B620" s="102">
        <v>69</v>
      </c>
      <c r="C620" s="15">
        <v>169</v>
      </c>
      <c r="D620" s="83">
        <v>2.8018534966177184</v>
      </c>
      <c r="E620" s="106">
        <f t="shared" si="7"/>
        <v>10.722546827278508</v>
      </c>
    </row>
    <row r="621" spans="1:5" x14ac:dyDescent="0.25">
      <c r="A621" s="8" t="s">
        <v>300</v>
      </c>
      <c r="B621" s="102">
        <v>69</v>
      </c>
      <c r="C621" s="15">
        <v>170</v>
      </c>
      <c r="D621" s="83">
        <v>4.6783580212389797</v>
      </c>
      <c r="E621" s="106">
        <f t="shared" si="7"/>
        <v>10.704926924339695</v>
      </c>
    </row>
    <row r="622" spans="1:5" x14ac:dyDescent="0.25">
      <c r="A622" s="8" t="s">
        <v>300</v>
      </c>
      <c r="B622" s="102">
        <v>69</v>
      </c>
      <c r="C622" s="15">
        <v>171</v>
      </c>
      <c r="D622" s="83">
        <v>3.8080110428758753</v>
      </c>
      <c r="E622" s="106">
        <f t="shared" si="7"/>
        <v>10.687433801192103</v>
      </c>
    </row>
    <row r="623" spans="1:5" x14ac:dyDescent="0.25">
      <c r="A623" s="8" t="s">
        <v>300</v>
      </c>
      <c r="B623" s="102">
        <v>69</v>
      </c>
      <c r="C623" s="15">
        <v>172</v>
      </c>
      <c r="D623" s="83">
        <v>5.5791302604315662</v>
      </c>
      <c r="E623" s="106">
        <f t="shared" si="7"/>
        <v>10.670065829175339</v>
      </c>
    </row>
    <row r="624" spans="1:5" x14ac:dyDescent="0.25">
      <c r="A624" s="8" t="s">
        <v>300</v>
      </c>
      <c r="B624" s="102">
        <v>69</v>
      </c>
      <c r="C624" s="15">
        <v>173</v>
      </c>
      <c r="D624" s="83">
        <v>3.7112434361346924</v>
      </c>
      <c r="E624" s="106">
        <f t="shared" si="7"/>
        <v>10.652821409721525</v>
      </c>
    </row>
    <row r="625" spans="1:5" x14ac:dyDescent="0.25">
      <c r="A625" s="8" t="s">
        <v>301</v>
      </c>
      <c r="B625" s="102">
        <v>70</v>
      </c>
      <c r="C625" s="15">
        <v>169</v>
      </c>
      <c r="D625" s="83">
        <v>1.228393104220955</v>
      </c>
      <c r="E625" s="106">
        <f t="shared" si="7"/>
        <v>10.877946056659356</v>
      </c>
    </row>
    <row r="626" spans="1:5" x14ac:dyDescent="0.25">
      <c r="A626" s="8" t="s">
        <v>301</v>
      </c>
      <c r="B626" s="102">
        <v>70</v>
      </c>
      <c r="C626" s="15">
        <v>170</v>
      </c>
      <c r="D626" s="83">
        <v>0.26181663680699874</v>
      </c>
      <c r="E626" s="106">
        <f t="shared" si="7"/>
        <v>10.860070792808386</v>
      </c>
    </row>
    <row r="627" spans="1:5" x14ac:dyDescent="0.25">
      <c r="A627" s="8" t="s">
        <v>301</v>
      </c>
      <c r="B627" s="102">
        <v>70</v>
      </c>
      <c r="C627" s="15">
        <v>171</v>
      </c>
      <c r="D627" s="83">
        <v>2.2304011226651279</v>
      </c>
      <c r="E627" s="106">
        <f t="shared" si="7"/>
        <v>10.842324146136917</v>
      </c>
    </row>
    <row r="628" spans="1:5" x14ac:dyDescent="0.25">
      <c r="A628" s="8" t="s">
        <v>301</v>
      </c>
      <c r="B628" s="102">
        <v>70</v>
      </c>
      <c r="C628" s="15">
        <v>172</v>
      </c>
      <c r="D628" s="83">
        <v>1.183678047312104</v>
      </c>
      <c r="E628" s="106">
        <f t="shared" si="7"/>
        <v>10.824704464380778</v>
      </c>
    </row>
    <row r="629" spans="1:5" x14ac:dyDescent="0.25">
      <c r="A629" s="8" t="s">
        <v>301</v>
      </c>
      <c r="B629" s="102">
        <v>70</v>
      </c>
      <c r="C629" s="15">
        <v>173</v>
      </c>
      <c r="D629" s="83">
        <v>4.3555128404158188</v>
      </c>
      <c r="E629" s="106">
        <f t="shared" si="7"/>
        <v>10.807210125804446</v>
      </c>
    </row>
    <row r="630" spans="1:5" x14ac:dyDescent="0.25">
      <c r="A630" s="8" t="s">
        <v>301</v>
      </c>
      <c r="B630" s="102">
        <v>70</v>
      </c>
      <c r="C630" s="15">
        <v>174</v>
      </c>
      <c r="D630" s="83">
        <v>2.3321843616385358</v>
      </c>
      <c r="E630" s="106">
        <f t="shared" si="7"/>
        <v>10.789839538466421</v>
      </c>
    </row>
    <row r="631" spans="1:5" x14ac:dyDescent="0.25">
      <c r="A631" s="8" t="s">
        <v>301</v>
      </c>
      <c r="B631" s="102">
        <v>70</v>
      </c>
      <c r="C631" s="15">
        <v>175</v>
      </c>
      <c r="D631" s="83">
        <v>4.1787218243298616</v>
      </c>
      <c r="E631" s="106">
        <f t="shared" si="7"/>
        <v>10.772591139506309</v>
      </c>
    </row>
    <row r="632" spans="1:5" x14ac:dyDescent="0.25">
      <c r="A632" s="8" t="s">
        <v>301</v>
      </c>
      <c r="B632" s="102">
        <v>70</v>
      </c>
      <c r="C632" s="15">
        <v>176</v>
      </c>
      <c r="D632" s="83">
        <v>3.6014648890256451</v>
      </c>
      <c r="E632" s="106">
        <f t="shared" si="7"/>
        <v>10.755463394452935</v>
      </c>
    </row>
    <row r="633" spans="1:5" x14ac:dyDescent="0.25">
      <c r="A633" s="8" t="s">
        <v>302</v>
      </c>
      <c r="B633" s="102">
        <v>71</v>
      </c>
      <c r="C633" s="15">
        <v>170</v>
      </c>
      <c r="D633" s="83">
        <v>2.5147829855952089</v>
      </c>
      <c r="E633" s="106">
        <f t="shared" si="7"/>
        <v>11.015214661277078</v>
      </c>
    </row>
    <row r="634" spans="1:5" x14ac:dyDescent="0.25">
      <c r="A634" s="8" t="s">
        <v>302</v>
      </c>
      <c r="B634" s="102">
        <v>71</v>
      </c>
      <c r="C634" s="15">
        <v>171</v>
      </c>
      <c r="D634" s="83">
        <v>1.1901671184775837</v>
      </c>
      <c r="E634" s="106">
        <f t="shared" si="7"/>
        <v>10.99721449108173</v>
      </c>
    </row>
    <row r="635" spans="1:5" x14ac:dyDescent="0.25">
      <c r="A635" s="8" t="s">
        <v>302</v>
      </c>
      <c r="B635" s="102">
        <v>71</v>
      </c>
      <c r="C635" s="15">
        <v>172</v>
      </c>
      <c r="D635" s="83">
        <v>3.3135081633268304</v>
      </c>
      <c r="E635" s="106">
        <f t="shared" si="7"/>
        <v>10.979343099586218</v>
      </c>
    </row>
    <row r="636" spans="1:5" x14ac:dyDescent="0.25">
      <c r="A636" s="8" t="s">
        <v>302</v>
      </c>
      <c r="B636" s="102">
        <v>71</v>
      </c>
      <c r="C636" s="15">
        <v>173</v>
      </c>
      <c r="D636" s="83">
        <v>2.1148169687070544</v>
      </c>
      <c r="E636" s="106">
        <f t="shared" si="7"/>
        <v>10.961598841887366</v>
      </c>
    </row>
    <row r="637" spans="1:5" x14ac:dyDescent="0.25">
      <c r="A637" s="8" t="s">
        <v>302</v>
      </c>
      <c r="B637" s="102">
        <v>71</v>
      </c>
      <c r="C637" s="15">
        <v>174</v>
      </c>
      <c r="D637" s="83">
        <v>3.9794501902197306</v>
      </c>
      <c r="E637" s="106">
        <f t="shared" si="7"/>
        <v>10.943980103301655</v>
      </c>
    </row>
    <row r="638" spans="1:5" x14ac:dyDescent="0.25">
      <c r="A638" s="8" t="s">
        <v>302</v>
      </c>
      <c r="B638" s="102">
        <v>71</v>
      </c>
      <c r="C638" s="15">
        <v>175</v>
      </c>
      <c r="D638" s="83">
        <v>3.1002796972121458</v>
      </c>
      <c r="E638" s="106">
        <f t="shared" si="7"/>
        <v>10.926485298642113</v>
      </c>
    </row>
    <row r="639" spans="1:5" x14ac:dyDescent="0.25">
      <c r="A639" s="8" t="s">
        <v>302</v>
      </c>
      <c r="B639" s="102">
        <v>71</v>
      </c>
      <c r="C639" s="15">
        <v>176</v>
      </c>
      <c r="D639" s="83">
        <v>4.8973032308800324</v>
      </c>
      <c r="E639" s="106">
        <f t="shared" si="7"/>
        <v>10.909112871516548</v>
      </c>
    </row>
    <row r="640" spans="1:5" x14ac:dyDescent="0.25">
      <c r="A640" s="8" t="s">
        <v>302</v>
      </c>
      <c r="B640" s="102">
        <v>71</v>
      </c>
      <c r="C640" s="15">
        <v>177</v>
      </c>
      <c r="D640" s="83">
        <v>4.2076562993034123</v>
      </c>
      <c r="E640" s="106">
        <f t="shared" si="7"/>
        <v>10.891861293646253</v>
      </c>
    </row>
    <row r="641" spans="1:5" x14ac:dyDescent="0.25">
      <c r="A641" s="8" t="s">
        <v>302</v>
      </c>
      <c r="B641" s="102">
        <v>71</v>
      </c>
      <c r="C641" s="15">
        <v>178</v>
      </c>
      <c r="D641" s="83">
        <v>5.8426712619894277</v>
      </c>
      <c r="E641" s="106">
        <f t="shared" si="7"/>
        <v>10.874729064204601</v>
      </c>
    </row>
    <row r="642" spans="1:5" x14ac:dyDescent="0.25">
      <c r="A642" s="8" t="s">
        <v>303</v>
      </c>
      <c r="B642" s="102">
        <v>72</v>
      </c>
      <c r="C642" s="15">
        <v>176</v>
      </c>
      <c r="D642" s="83">
        <v>0.60318227505015032</v>
      </c>
      <c r="E642" s="106">
        <f t="shared" si="7"/>
        <v>11.062762348580161</v>
      </c>
    </row>
    <row r="643" spans="1:5" x14ac:dyDescent="0.25">
      <c r="A643" s="8" t="s">
        <v>303</v>
      </c>
      <c r="B643" s="102">
        <v>72</v>
      </c>
      <c r="C643" s="15">
        <v>177</v>
      </c>
      <c r="D643" s="83">
        <v>2.553283586904922</v>
      </c>
      <c r="E643" s="106">
        <f t="shared" si="7"/>
        <v>11.045267790739862</v>
      </c>
    </row>
    <row r="644" spans="1:5" x14ac:dyDescent="0.25">
      <c r="A644" s="8" t="s">
        <v>303</v>
      </c>
      <c r="B644" s="102">
        <v>72</v>
      </c>
      <c r="C644" s="15">
        <v>178</v>
      </c>
      <c r="D644" s="83">
        <v>1.8005602051589864</v>
      </c>
      <c r="E644" s="106">
        <f t="shared" si="7"/>
        <v>11.027894262291991</v>
      </c>
    </row>
    <row r="645" spans="1:5" x14ac:dyDescent="0.25">
      <c r="A645" s="8" t="s">
        <v>303</v>
      </c>
      <c r="B645" s="102">
        <v>72</v>
      </c>
      <c r="C645" s="15">
        <v>179</v>
      </c>
      <c r="D645" s="83">
        <v>3.5959844553392828</v>
      </c>
      <c r="E645" s="106">
        <f t="shared" si="7"/>
        <v>11.010640268458905</v>
      </c>
    </row>
    <row r="646" spans="1:5" x14ac:dyDescent="0.25">
      <c r="A646" s="8" t="s">
        <v>303</v>
      </c>
      <c r="B646" s="102">
        <v>72</v>
      </c>
      <c r="C646" s="15">
        <v>180</v>
      </c>
      <c r="D646" s="83">
        <v>2.8470043401370111</v>
      </c>
      <c r="E646" s="106">
        <f t="shared" si="7"/>
        <v>10.993504341017761</v>
      </c>
    </row>
    <row r="647" spans="1:5" x14ac:dyDescent="0.25">
      <c r="A647" s="8" t="s">
        <v>304</v>
      </c>
      <c r="B647" s="102">
        <v>73</v>
      </c>
      <c r="C647" s="15">
        <v>176</v>
      </c>
      <c r="D647" s="83">
        <v>2.8170364926174605</v>
      </c>
      <c r="E647" s="106">
        <f t="shared" si="7"/>
        <v>11.216411825643775</v>
      </c>
    </row>
    <row r="648" spans="1:5" x14ac:dyDescent="0.25">
      <c r="A648" s="8" t="s">
        <v>304</v>
      </c>
      <c r="B648" s="102">
        <v>73</v>
      </c>
      <c r="C648" s="15">
        <v>177</v>
      </c>
      <c r="D648" s="83">
        <v>1.7127660311902522</v>
      </c>
      <c r="E648" s="106">
        <f t="shared" si="7"/>
        <v>11.198674287833471</v>
      </c>
    </row>
    <row r="649" spans="1:5" x14ac:dyDescent="0.25">
      <c r="A649" s="8" t="s">
        <v>304</v>
      </c>
      <c r="B649" s="102">
        <v>73</v>
      </c>
      <c r="C649" s="15">
        <v>178</v>
      </c>
      <c r="D649" s="83">
        <v>3.618300455717482</v>
      </c>
      <c r="E649" s="106">
        <f t="shared" si="7"/>
        <v>11.181059460379378</v>
      </c>
    </row>
    <row r="650" spans="1:5" x14ac:dyDescent="0.25">
      <c r="A650" s="8" t="s">
        <v>304</v>
      </c>
      <c r="B650" s="102">
        <v>73</v>
      </c>
      <c r="C650" s="15">
        <v>179</v>
      </c>
      <c r="D650" s="83">
        <v>2.6475110197565113</v>
      </c>
      <c r="E650" s="106">
        <f t="shared" ref="E650:E713" si="8">B650/(1+C650^0.33)</f>
        <v>11.163565827743057</v>
      </c>
    </row>
    <row r="651" spans="1:5" x14ac:dyDescent="0.25">
      <c r="A651" s="8" t="s">
        <v>304</v>
      </c>
      <c r="B651" s="102">
        <v>73</v>
      </c>
      <c r="C651" s="15">
        <v>180</v>
      </c>
      <c r="D651" s="83">
        <v>4.4209386546449583</v>
      </c>
      <c r="E651" s="106">
        <f t="shared" si="8"/>
        <v>11.146191901309676</v>
      </c>
    </row>
    <row r="652" spans="1:5" x14ac:dyDescent="0.25">
      <c r="A652" s="8" t="s">
        <v>304</v>
      </c>
      <c r="B652" s="102">
        <v>73</v>
      </c>
      <c r="C652" s="15">
        <v>181</v>
      </c>
      <c r="D652" s="83">
        <v>3.5243405840345652</v>
      </c>
      <c r="E652" s="106">
        <f t="shared" si="8"/>
        <v>11.128936218765009</v>
      </c>
    </row>
    <row r="653" spans="1:5" x14ac:dyDescent="0.25">
      <c r="A653" s="8" t="s">
        <v>304</v>
      </c>
      <c r="B653" s="102">
        <v>73</v>
      </c>
      <c r="C653" s="15">
        <v>182</v>
      </c>
      <c r="D653" s="83">
        <v>5.5218951487328471</v>
      </c>
      <c r="E653" s="106">
        <f t="shared" si="8"/>
        <v>11.111797343490162</v>
      </c>
    </row>
    <row r="654" spans="1:5" x14ac:dyDescent="0.25">
      <c r="A654" s="8" t="s">
        <v>304</v>
      </c>
      <c r="B654" s="102">
        <v>73</v>
      </c>
      <c r="C654" s="15">
        <v>183</v>
      </c>
      <c r="D654" s="83">
        <v>4.7784559936959194</v>
      </c>
      <c r="E654" s="106">
        <f t="shared" si="8"/>
        <v>11.094773863973399</v>
      </c>
    </row>
    <row r="655" spans="1:5" x14ac:dyDescent="0.25">
      <c r="A655" s="8" t="s">
        <v>305</v>
      </c>
      <c r="B655" s="102">
        <v>74</v>
      </c>
      <c r="C655" s="15">
        <v>181</v>
      </c>
      <c r="D655" s="83">
        <v>1.9080153442737711</v>
      </c>
      <c r="E655" s="106">
        <f t="shared" si="8"/>
        <v>11.281387399843982</v>
      </c>
    </row>
    <row r="656" spans="1:5" x14ac:dyDescent="0.25">
      <c r="A656" s="8" t="s">
        <v>305</v>
      </c>
      <c r="B656" s="102">
        <v>74</v>
      </c>
      <c r="C656" s="15">
        <v>182</v>
      </c>
      <c r="D656" s="83">
        <v>0.90821894253435187</v>
      </c>
      <c r="E656" s="106">
        <f t="shared" si="8"/>
        <v>11.264013745455781</v>
      </c>
    </row>
    <row r="657" spans="1:5" x14ac:dyDescent="0.25">
      <c r="A657" s="8" t="s">
        <v>305</v>
      </c>
      <c r="B657" s="102">
        <v>74</v>
      </c>
      <c r="C657" s="15">
        <v>183</v>
      </c>
      <c r="D657" s="83">
        <v>3.1564628595529922</v>
      </c>
      <c r="E657" s="106">
        <f t="shared" si="8"/>
        <v>11.246757067589474</v>
      </c>
    </row>
    <row r="658" spans="1:5" x14ac:dyDescent="0.25">
      <c r="A658" s="8" t="s">
        <v>305</v>
      </c>
      <c r="B658" s="102">
        <v>74</v>
      </c>
      <c r="C658" s="15">
        <v>184</v>
      </c>
      <c r="D658" s="83">
        <v>2.2150602146224241</v>
      </c>
      <c r="E658" s="106">
        <f t="shared" si="8"/>
        <v>11.229615960269284</v>
      </c>
    </row>
    <row r="659" spans="1:5" x14ac:dyDescent="0.25">
      <c r="A659" s="8" t="s">
        <v>305</v>
      </c>
      <c r="B659" s="102">
        <v>74</v>
      </c>
      <c r="C659" s="15">
        <v>185</v>
      </c>
      <c r="D659" s="83">
        <v>4.1437051354589052</v>
      </c>
      <c r="E659" s="106">
        <f t="shared" si="8"/>
        <v>11.212589041827945</v>
      </c>
    </row>
    <row r="660" spans="1:5" x14ac:dyDescent="0.25">
      <c r="A660" s="8" t="s">
        <v>305</v>
      </c>
      <c r="B660" s="102">
        <v>74</v>
      </c>
      <c r="C660" s="15">
        <v>186</v>
      </c>
      <c r="D660" s="83">
        <v>3.1239541189003761</v>
      </c>
      <c r="E660" s="106">
        <f t="shared" si="8"/>
        <v>11.195674954359234</v>
      </c>
    </row>
    <row r="661" spans="1:5" x14ac:dyDescent="0.25">
      <c r="A661" s="8" t="s">
        <v>306</v>
      </c>
      <c r="B661" s="102">
        <v>75</v>
      </c>
      <c r="C661" s="15">
        <v>182</v>
      </c>
      <c r="D661" s="83">
        <v>2.863849100514555</v>
      </c>
      <c r="E661" s="106">
        <f t="shared" si="8"/>
        <v>11.4162301474214</v>
      </c>
    </row>
    <row r="662" spans="1:5" x14ac:dyDescent="0.25">
      <c r="A662" s="8" t="s">
        <v>306</v>
      </c>
      <c r="B662" s="102">
        <v>75</v>
      </c>
      <c r="C662" s="15">
        <v>183</v>
      </c>
      <c r="D662" s="83">
        <v>1.4095128541528714</v>
      </c>
      <c r="E662" s="106">
        <f t="shared" si="8"/>
        <v>11.398740271205549</v>
      </c>
    </row>
    <row r="663" spans="1:5" x14ac:dyDescent="0.25">
      <c r="A663" s="8" t="s">
        <v>306</v>
      </c>
      <c r="B663" s="102">
        <v>75</v>
      </c>
      <c r="C663" s="15">
        <v>184</v>
      </c>
      <c r="D663" s="83">
        <v>3.7535402724308171</v>
      </c>
      <c r="E663" s="106">
        <f t="shared" si="8"/>
        <v>11.381367527299949</v>
      </c>
    </row>
    <row r="664" spans="1:5" x14ac:dyDescent="0.25">
      <c r="A664" s="8" t="s">
        <v>306</v>
      </c>
      <c r="B664" s="102">
        <v>75</v>
      </c>
      <c r="C664" s="15">
        <v>185</v>
      </c>
      <c r="D664" s="83">
        <v>2.697124491878899</v>
      </c>
      <c r="E664" s="106">
        <f t="shared" si="8"/>
        <v>11.364110515366161</v>
      </c>
    </row>
    <row r="665" spans="1:5" x14ac:dyDescent="0.25">
      <c r="A665" s="8" t="s">
        <v>306</v>
      </c>
      <c r="B665" s="102">
        <v>75</v>
      </c>
      <c r="C665" s="15">
        <v>186</v>
      </c>
      <c r="D665" s="83">
        <v>4.7878725732405476</v>
      </c>
      <c r="E665" s="106">
        <f t="shared" si="8"/>
        <v>11.346967859147872</v>
      </c>
    </row>
    <row r="666" spans="1:5" x14ac:dyDescent="0.25">
      <c r="A666" s="8" t="s">
        <v>306</v>
      </c>
      <c r="B666" s="102">
        <v>75</v>
      </c>
      <c r="C666" s="15">
        <v>187</v>
      </c>
      <c r="D666" s="83">
        <v>3.7145273596232253</v>
      </c>
      <c r="E666" s="106">
        <f t="shared" si="8"/>
        <v>11.329938205931407</v>
      </c>
    </row>
    <row r="667" spans="1:5" x14ac:dyDescent="0.25">
      <c r="A667" s="8" t="s">
        <v>306</v>
      </c>
      <c r="B667" s="102">
        <v>75</v>
      </c>
      <c r="C667" s="15">
        <v>188</v>
      </c>
      <c r="D667" s="83">
        <v>5.8300833057633028</v>
      </c>
      <c r="E667" s="106">
        <f t="shared" si="8"/>
        <v>11.313020226021061</v>
      </c>
    </row>
    <row r="668" spans="1:5" x14ac:dyDescent="0.25">
      <c r="A668" s="8" t="s">
        <v>306</v>
      </c>
      <c r="B668" s="102">
        <v>75</v>
      </c>
      <c r="C668" s="15">
        <v>189</v>
      </c>
      <c r="D668" s="83">
        <v>4.7191068333649566</v>
      </c>
      <c r="E668" s="106">
        <f t="shared" si="8"/>
        <v>11.296212612228858</v>
      </c>
    </row>
    <row r="669" spans="1:5" x14ac:dyDescent="0.25">
      <c r="A669" s="8" t="s">
        <v>307</v>
      </c>
      <c r="B669" s="102">
        <v>76</v>
      </c>
      <c r="C669" s="15">
        <v>187</v>
      </c>
      <c r="D669" s="83">
        <v>2.2133037467248817</v>
      </c>
      <c r="E669" s="106">
        <f t="shared" si="8"/>
        <v>11.481004048677161</v>
      </c>
    </row>
    <row r="670" spans="1:5" x14ac:dyDescent="0.25">
      <c r="A670" s="8" t="s">
        <v>307</v>
      </c>
      <c r="B670" s="102">
        <v>76</v>
      </c>
      <c r="C670" s="15">
        <v>188</v>
      </c>
      <c r="D670" s="83">
        <v>0.90481051469348273</v>
      </c>
      <c r="E670" s="106">
        <f t="shared" si="8"/>
        <v>11.463860495701342</v>
      </c>
    </row>
    <row r="671" spans="1:5" x14ac:dyDescent="0.25">
      <c r="A671" s="8" t="s">
        <v>307</v>
      </c>
      <c r="B671" s="102">
        <v>76</v>
      </c>
      <c r="C671" s="15">
        <v>189</v>
      </c>
      <c r="D671" s="83">
        <v>3.214419409428841</v>
      </c>
      <c r="E671" s="106">
        <f t="shared" si="8"/>
        <v>11.446828780391911</v>
      </c>
    </row>
    <row r="672" spans="1:5" x14ac:dyDescent="0.25">
      <c r="A672" s="8" t="s">
        <v>307</v>
      </c>
      <c r="B672" s="102">
        <v>76</v>
      </c>
      <c r="C672" s="15">
        <v>190</v>
      </c>
      <c r="D672" s="83">
        <v>1.7123765289679818</v>
      </c>
      <c r="E672" s="106">
        <f t="shared" si="8"/>
        <v>11.4299076004366</v>
      </c>
    </row>
    <row r="673" spans="1:5" x14ac:dyDescent="0.25">
      <c r="A673" s="8" t="s">
        <v>307</v>
      </c>
      <c r="B673" s="102">
        <v>76</v>
      </c>
      <c r="C673" s="15">
        <v>191</v>
      </c>
      <c r="D673" s="83">
        <v>4.0219368495432635</v>
      </c>
      <c r="E673" s="106">
        <f t="shared" si="8"/>
        <v>11.413095675338706</v>
      </c>
    </row>
    <row r="674" spans="1:5" x14ac:dyDescent="0.25">
      <c r="A674" s="8" t="s">
        <v>307</v>
      </c>
      <c r="B674" s="102">
        <v>76</v>
      </c>
      <c r="C674" s="15">
        <v>192</v>
      </c>
      <c r="D674" s="83">
        <v>2.662867113961445</v>
      </c>
      <c r="E674" s="106">
        <f t="shared" si="8"/>
        <v>11.396391745941003</v>
      </c>
    </row>
    <row r="675" spans="1:5" x14ac:dyDescent="0.25">
      <c r="A675" s="8" t="s">
        <v>307</v>
      </c>
      <c r="B675" s="102">
        <v>76</v>
      </c>
      <c r="C675" s="15">
        <v>193</v>
      </c>
      <c r="D675" s="83">
        <v>4.8439574434614503</v>
      </c>
      <c r="E675" s="106">
        <f t="shared" si="8"/>
        <v>11.379794573962414</v>
      </c>
    </row>
    <row r="676" spans="1:5" x14ac:dyDescent="0.25">
      <c r="A676" s="8" t="s">
        <v>307</v>
      </c>
      <c r="B676" s="102">
        <v>76</v>
      </c>
      <c r="C676" s="15">
        <v>194</v>
      </c>
      <c r="D676" s="83">
        <v>3.8087998398993101</v>
      </c>
      <c r="E676" s="106">
        <f t="shared" si="8"/>
        <v>11.363302941547095</v>
      </c>
    </row>
    <row r="677" spans="1:5" x14ac:dyDescent="0.25">
      <c r="A677" s="8" t="s">
        <v>308</v>
      </c>
      <c r="B677" s="102">
        <v>77</v>
      </c>
      <c r="C677" s="15">
        <v>186</v>
      </c>
      <c r="D677" s="83">
        <v>2.3839231408021719</v>
      </c>
      <c r="E677" s="106">
        <f t="shared" si="8"/>
        <v>11.649553668725149</v>
      </c>
    </row>
    <row r="678" spans="1:5" x14ac:dyDescent="0.25">
      <c r="A678" s="8" t="s">
        <v>308</v>
      </c>
      <c r="B678" s="102">
        <v>77</v>
      </c>
      <c r="C678" s="15">
        <v>187</v>
      </c>
      <c r="D678" s="83">
        <v>0.80081117390827639</v>
      </c>
      <c r="E678" s="106">
        <f t="shared" si="8"/>
        <v>11.632069891422912</v>
      </c>
    </row>
    <row r="679" spans="1:5" x14ac:dyDescent="0.25">
      <c r="A679" s="8" t="s">
        <v>308</v>
      </c>
      <c r="B679" s="102">
        <v>77</v>
      </c>
      <c r="C679" s="15">
        <v>188</v>
      </c>
      <c r="D679" s="83">
        <v>3.1761913723705377</v>
      </c>
      <c r="E679" s="106">
        <f t="shared" si="8"/>
        <v>11.614700765381622</v>
      </c>
    </row>
    <row r="680" spans="1:5" x14ac:dyDescent="0.25">
      <c r="A680" s="8" t="s">
        <v>308</v>
      </c>
      <c r="B680" s="102">
        <v>77</v>
      </c>
      <c r="C680" s="15">
        <v>189</v>
      </c>
      <c r="D680" s="83">
        <v>1.801009128484788</v>
      </c>
      <c r="E680" s="106">
        <f t="shared" si="8"/>
        <v>11.597444948554962</v>
      </c>
    </row>
    <row r="681" spans="1:5" x14ac:dyDescent="0.25">
      <c r="A681" s="8" t="s">
        <v>308</v>
      </c>
      <c r="B681" s="102">
        <v>77</v>
      </c>
      <c r="C681" s="15">
        <v>190</v>
      </c>
      <c r="D681" s="83">
        <v>4.3291304874903958</v>
      </c>
      <c r="E681" s="106">
        <f t="shared" si="8"/>
        <v>11.580301121494976</v>
      </c>
    </row>
    <row r="682" spans="1:5" x14ac:dyDescent="0.25">
      <c r="A682" s="8" t="s">
        <v>308</v>
      </c>
      <c r="B682" s="102">
        <v>77</v>
      </c>
      <c r="C682" s="15">
        <v>191</v>
      </c>
      <c r="D682" s="83">
        <v>2.7113028630940188</v>
      </c>
      <c r="E682" s="106">
        <f t="shared" si="8"/>
        <v>11.563267986856321</v>
      </c>
    </row>
    <row r="683" spans="1:5" x14ac:dyDescent="0.25">
      <c r="A683" s="8" t="s">
        <v>308</v>
      </c>
      <c r="B683" s="102">
        <v>77</v>
      </c>
      <c r="C683" s="15">
        <v>192</v>
      </c>
      <c r="D683" s="83">
        <v>5.1677770120150228</v>
      </c>
      <c r="E683" s="106">
        <f t="shared" si="8"/>
        <v>11.546344268913911</v>
      </c>
    </row>
    <row r="684" spans="1:5" x14ac:dyDescent="0.25">
      <c r="A684" s="8" t="s">
        <v>308</v>
      </c>
      <c r="B684" s="102">
        <v>77</v>
      </c>
      <c r="C684" s="15">
        <v>193</v>
      </c>
      <c r="D684" s="83">
        <v>3.6504577781151251</v>
      </c>
      <c r="E684" s="106">
        <f t="shared" si="8"/>
        <v>11.529528713093498</v>
      </c>
    </row>
    <row r="685" spans="1:5" x14ac:dyDescent="0.25">
      <c r="A685" s="8" t="s">
        <v>308</v>
      </c>
      <c r="B685" s="102">
        <v>77</v>
      </c>
      <c r="C685" s="15">
        <v>194</v>
      </c>
      <c r="D685" s="83">
        <v>5.960566750410039</v>
      </c>
      <c r="E685" s="106">
        <f t="shared" si="8"/>
        <v>11.51282008551482</v>
      </c>
    </row>
    <row r="686" spans="1:5" x14ac:dyDescent="0.25">
      <c r="A686" s="8" t="s">
        <v>308</v>
      </c>
      <c r="B686" s="102">
        <v>77</v>
      </c>
      <c r="C686" s="15">
        <v>195</v>
      </c>
      <c r="D686" s="83">
        <v>4.8216875077583401</v>
      </c>
      <c r="E686" s="106">
        <f t="shared" si="8"/>
        <v>11.496217172546858</v>
      </c>
    </row>
    <row r="687" spans="1:5" x14ac:dyDescent="0.25">
      <c r="A687" s="8" t="s">
        <v>309</v>
      </c>
      <c r="B687" s="102">
        <v>78</v>
      </c>
      <c r="C687" s="15">
        <v>191</v>
      </c>
      <c r="D687" s="83">
        <v>1.8822743381401636</v>
      </c>
      <c r="E687" s="106">
        <f t="shared" si="8"/>
        <v>11.713440298373936</v>
      </c>
    </row>
    <row r="688" spans="1:5" x14ac:dyDescent="0.25">
      <c r="A688" s="8" t="s">
        <v>309</v>
      </c>
      <c r="B688" s="102">
        <v>78</v>
      </c>
      <c r="C688" s="15">
        <v>192</v>
      </c>
      <c r="D688" s="83">
        <v>0.18623792763452532</v>
      </c>
      <c r="E688" s="106">
        <f t="shared" si="8"/>
        <v>11.696296791886818</v>
      </c>
    </row>
    <row r="689" spans="1:5" x14ac:dyDescent="0.25">
      <c r="A689" s="8" t="s">
        <v>309</v>
      </c>
      <c r="B689" s="102">
        <v>78</v>
      </c>
      <c r="C689" s="15">
        <v>193</v>
      </c>
      <c r="D689" s="83">
        <v>2.6107002218682402</v>
      </c>
      <c r="E689" s="106">
        <f t="shared" si="8"/>
        <v>11.679262852224582</v>
      </c>
    </row>
    <row r="690" spans="1:5" x14ac:dyDescent="0.25">
      <c r="A690" s="8" t="s">
        <v>309</v>
      </c>
      <c r="B690" s="102">
        <v>78</v>
      </c>
      <c r="C690" s="15">
        <v>194</v>
      </c>
      <c r="D690" s="83">
        <v>1.2006847926816713</v>
      </c>
      <c r="E690" s="106">
        <f t="shared" si="8"/>
        <v>11.662337229482546</v>
      </c>
    </row>
    <row r="691" spans="1:5" x14ac:dyDescent="0.25">
      <c r="A691" s="8" t="s">
        <v>309</v>
      </c>
      <c r="B691" s="102">
        <v>78</v>
      </c>
      <c r="C691" s="15">
        <v>195</v>
      </c>
      <c r="D691" s="83">
        <v>3.4819433966825439</v>
      </c>
      <c r="E691" s="106">
        <f t="shared" si="8"/>
        <v>11.645518694268246</v>
      </c>
    </row>
    <row r="692" spans="1:5" x14ac:dyDescent="0.25">
      <c r="A692" s="8" t="s">
        <v>309</v>
      </c>
      <c r="B692" s="102">
        <v>78</v>
      </c>
      <c r="C692" s="15">
        <v>196</v>
      </c>
      <c r="D692" s="83">
        <v>2.2220036615865633</v>
      </c>
      <c r="E692" s="106">
        <f t="shared" si="8"/>
        <v>11.628806037262871</v>
      </c>
    </row>
    <row r="693" spans="1:5" x14ac:dyDescent="0.25">
      <c r="A693" s="8" t="s">
        <v>309</v>
      </c>
      <c r="B693" s="102">
        <v>78</v>
      </c>
      <c r="C693" s="15">
        <v>197</v>
      </c>
      <c r="D693" s="83">
        <v>4.4401289930190782</v>
      </c>
      <c r="E693" s="106">
        <f t="shared" si="8"/>
        <v>11.612198068794198</v>
      </c>
    </row>
    <row r="694" spans="1:5" x14ac:dyDescent="0.25">
      <c r="A694" s="8" t="s">
        <v>309</v>
      </c>
      <c r="B694" s="102">
        <v>78</v>
      </c>
      <c r="C694" s="15">
        <v>198</v>
      </c>
      <c r="D694" s="83">
        <v>3.3991331491565497</v>
      </c>
      <c r="E694" s="106">
        <f t="shared" si="8"/>
        <v>11.595693618420748</v>
      </c>
    </row>
    <row r="695" spans="1:5" x14ac:dyDescent="0.25">
      <c r="A695" s="8" t="s">
        <v>310</v>
      </c>
      <c r="B695" s="102">
        <v>79</v>
      </c>
      <c r="C695" s="15">
        <v>192</v>
      </c>
      <c r="D695" s="83">
        <v>2.913566437479528</v>
      </c>
      <c r="E695" s="106">
        <f t="shared" si="8"/>
        <v>11.846249314859726</v>
      </c>
    </row>
    <row r="696" spans="1:5" x14ac:dyDescent="0.25">
      <c r="A696" s="8" t="s">
        <v>310</v>
      </c>
      <c r="B696" s="102">
        <v>79</v>
      </c>
      <c r="C696" s="15">
        <v>193</v>
      </c>
      <c r="D696" s="83">
        <v>1.3716508292935559</v>
      </c>
      <c r="E696" s="106">
        <f t="shared" si="8"/>
        <v>11.828996991355666</v>
      </c>
    </row>
    <row r="697" spans="1:5" x14ac:dyDescent="0.25">
      <c r="A697" s="8" t="s">
        <v>310</v>
      </c>
      <c r="B697" s="102">
        <v>79</v>
      </c>
      <c r="C697" s="15">
        <v>194</v>
      </c>
      <c r="D697" s="83">
        <v>3.6616634642844401</v>
      </c>
      <c r="E697" s="106">
        <f t="shared" si="8"/>
        <v>11.81185437345027</v>
      </c>
    </row>
    <row r="698" spans="1:5" x14ac:dyDescent="0.25">
      <c r="A698" s="8" t="s">
        <v>310</v>
      </c>
      <c r="B698" s="102">
        <v>79</v>
      </c>
      <c r="C698" s="15">
        <v>195</v>
      </c>
      <c r="D698" s="83">
        <v>2.1949253643695434</v>
      </c>
      <c r="E698" s="106">
        <f t="shared" si="8"/>
        <v>11.794820215989633</v>
      </c>
    </row>
    <row r="699" spans="1:5" x14ac:dyDescent="0.25">
      <c r="A699" s="8" t="s">
        <v>310</v>
      </c>
      <c r="B699" s="102">
        <v>79</v>
      </c>
      <c r="C699" s="15">
        <v>196</v>
      </c>
      <c r="D699" s="83">
        <v>4.3954156610998032</v>
      </c>
      <c r="E699" s="106">
        <f t="shared" si="8"/>
        <v>11.777893294150855</v>
      </c>
    </row>
    <row r="700" spans="1:5" x14ac:dyDescent="0.25">
      <c r="A700" s="8" t="s">
        <v>310</v>
      </c>
      <c r="B700" s="102">
        <v>79</v>
      </c>
      <c r="C700" s="15">
        <v>197</v>
      </c>
      <c r="D700" s="83">
        <v>3.2882555382812928</v>
      </c>
      <c r="E700" s="106">
        <f t="shared" si="8"/>
        <v>11.761072403009509</v>
      </c>
    </row>
    <row r="701" spans="1:5" x14ac:dyDescent="0.25">
      <c r="A701" s="8" t="s">
        <v>310</v>
      </c>
      <c r="B701" s="102">
        <v>79</v>
      </c>
      <c r="C701" s="15">
        <v>198</v>
      </c>
      <c r="D701" s="83">
        <v>5.0833003506041718</v>
      </c>
      <c r="E701" s="106">
        <f t="shared" si="8"/>
        <v>11.74435635711845</v>
      </c>
    </row>
    <row r="702" spans="1:5" x14ac:dyDescent="0.25">
      <c r="A702" s="8" t="s">
        <v>310</v>
      </c>
      <c r="B702" s="102">
        <v>79</v>
      </c>
      <c r="C702" s="15">
        <v>199</v>
      </c>
      <c r="D702" s="83">
        <v>4.1655611331189126</v>
      </c>
      <c r="E702" s="106">
        <f t="shared" si="8"/>
        <v>11.72774399009759</v>
      </c>
    </row>
    <row r="703" spans="1:5" x14ac:dyDescent="0.25">
      <c r="A703" s="8" t="s">
        <v>310</v>
      </c>
      <c r="B703" s="102">
        <v>79</v>
      </c>
      <c r="C703" s="15">
        <v>200</v>
      </c>
      <c r="D703" s="83">
        <v>5.9217228671830631</v>
      </c>
      <c r="E703" s="106">
        <f t="shared" si="8"/>
        <v>11.711234154234306</v>
      </c>
    </row>
    <row r="704" spans="1:5" x14ac:dyDescent="0.25">
      <c r="A704" s="8" t="s">
        <v>310</v>
      </c>
      <c r="B704" s="102">
        <v>79</v>
      </c>
      <c r="C704" s="15">
        <v>201</v>
      </c>
      <c r="D704" s="83">
        <v>4.9847502493275577</v>
      </c>
      <c r="E704" s="106">
        <f t="shared" si="8"/>
        <v>11.694825720094153</v>
      </c>
    </row>
    <row r="705" spans="1:5" x14ac:dyDescent="0.25">
      <c r="A705" s="8" t="s">
        <v>311</v>
      </c>
      <c r="B705" s="102">
        <v>80</v>
      </c>
      <c r="C705" s="15">
        <v>197</v>
      </c>
      <c r="D705" s="83">
        <v>1.311089396209812</v>
      </c>
      <c r="E705" s="106">
        <f t="shared" si="8"/>
        <v>11.90994673722482</v>
      </c>
    </row>
    <row r="706" spans="1:5" x14ac:dyDescent="0.25">
      <c r="A706" s="8" t="s">
        <v>311</v>
      </c>
      <c r="B706" s="102">
        <v>80</v>
      </c>
      <c r="C706" s="15">
        <v>198</v>
      </c>
      <c r="D706" s="83">
        <v>0.24725289178375595</v>
      </c>
      <c r="E706" s="106">
        <f t="shared" si="8"/>
        <v>11.893019095816152</v>
      </c>
    </row>
    <row r="707" spans="1:5" x14ac:dyDescent="0.25">
      <c r="A707" s="8" t="s">
        <v>311</v>
      </c>
      <c r="B707" s="102">
        <v>80</v>
      </c>
      <c r="C707" s="15">
        <v>199</v>
      </c>
      <c r="D707" s="83">
        <v>2.2388855852498804</v>
      </c>
      <c r="E707" s="106">
        <f t="shared" si="8"/>
        <v>11.876196445668445</v>
      </c>
    </row>
    <row r="708" spans="1:5" x14ac:dyDescent="0.25">
      <c r="A708" s="8" t="s">
        <v>311</v>
      </c>
      <c r="B708" s="102">
        <v>80</v>
      </c>
      <c r="C708" s="15">
        <v>200</v>
      </c>
      <c r="D708" s="83">
        <v>1.2560832424237953</v>
      </c>
      <c r="E708" s="106">
        <f t="shared" si="8"/>
        <v>11.85947762454107</v>
      </c>
    </row>
    <row r="709" spans="1:5" x14ac:dyDescent="0.25">
      <c r="A709" s="8" t="s">
        <v>311</v>
      </c>
      <c r="B709" s="102">
        <v>80</v>
      </c>
      <c r="C709" s="15">
        <v>201</v>
      </c>
      <c r="D709" s="83">
        <v>3.225022930714752</v>
      </c>
      <c r="E709" s="106">
        <f t="shared" si="8"/>
        <v>11.842861488702939</v>
      </c>
    </row>
    <row r="710" spans="1:5" x14ac:dyDescent="0.25">
      <c r="A710" s="8" t="s">
        <v>311</v>
      </c>
      <c r="B710" s="102">
        <v>80</v>
      </c>
      <c r="C710" s="15">
        <v>202</v>
      </c>
      <c r="D710" s="83">
        <v>2.3434145964437256</v>
      </c>
      <c r="E710" s="106">
        <f t="shared" si="8"/>
        <v>11.826346912548425</v>
      </c>
    </row>
    <row r="711" spans="1:5" x14ac:dyDescent="0.25">
      <c r="A711" s="8" t="s">
        <v>311</v>
      </c>
      <c r="B711" s="102">
        <v>80</v>
      </c>
      <c r="C711" s="15">
        <v>203</v>
      </c>
      <c r="D711" s="83">
        <v>4.2038480959011126</v>
      </c>
      <c r="E711" s="106">
        <f t="shared" si="8"/>
        <v>11.809932788223072</v>
      </c>
    </row>
    <row r="712" spans="1:5" x14ac:dyDescent="0.25">
      <c r="A712" s="8" t="s">
        <v>311</v>
      </c>
      <c r="B712" s="102">
        <v>80</v>
      </c>
      <c r="C712" s="15">
        <v>204</v>
      </c>
      <c r="D712" s="83">
        <v>3.3629727059326422</v>
      </c>
      <c r="E712" s="106">
        <f t="shared" si="8"/>
        <v>11.793618025258816</v>
      </c>
    </row>
    <row r="713" spans="1:5" x14ac:dyDescent="0.25">
      <c r="A713" s="8" t="s">
        <v>312</v>
      </c>
      <c r="B713" s="102">
        <v>81</v>
      </c>
      <c r="C713" s="15">
        <v>198</v>
      </c>
      <c r="D713" s="83">
        <v>2.1092172015443804</v>
      </c>
      <c r="E713" s="106">
        <f t="shared" si="8"/>
        <v>12.041681834513854</v>
      </c>
    </row>
    <row r="714" spans="1:5" x14ac:dyDescent="0.25">
      <c r="A714" s="8" t="s">
        <v>312</v>
      </c>
      <c r="B714" s="102">
        <v>81</v>
      </c>
      <c r="C714" s="15">
        <v>199</v>
      </c>
      <c r="D714" s="83">
        <v>0.90443882709419054</v>
      </c>
      <c r="E714" s="106">
        <f t="shared" ref="E714:E774" si="9">B714/(1+C714^0.33)</f>
        <v>12.024648901239301</v>
      </c>
    </row>
    <row r="715" spans="1:5" x14ac:dyDescent="0.25">
      <c r="A715" s="8" t="s">
        <v>312</v>
      </c>
      <c r="B715" s="102">
        <v>81</v>
      </c>
      <c r="C715" s="15">
        <v>200</v>
      </c>
      <c r="D715" s="83">
        <v>2.8085018424791164</v>
      </c>
      <c r="E715" s="106">
        <f t="shared" si="9"/>
        <v>12.007721094847835</v>
      </c>
    </row>
    <row r="716" spans="1:5" x14ac:dyDescent="0.25">
      <c r="A716" s="8" t="s">
        <v>312</v>
      </c>
      <c r="B716" s="102">
        <v>81</v>
      </c>
      <c r="C716" s="15">
        <v>201</v>
      </c>
      <c r="D716" s="83">
        <v>1.8536989265598001</v>
      </c>
      <c r="E716" s="106">
        <f t="shared" si="9"/>
        <v>11.990897257311726</v>
      </c>
    </row>
    <row r="717" spans="1:5" x14ac:dyDescent="0.25">
      <c r="A717" s="8" t="s">
        <v>312</v>
      </c>
      <c r="B717" s="102">
        <v>81</v>
      </c>
      <c r="C717" s="15">
        <v>202</v>
      </c>
      <c r="D717" s="83">
        <v>3.6665507448493928</v>
      </c>
      <c r="E717" s="106">
        <f t="shared" si="9"/>
        <v>11.974176248955279</v>
      </c>
    </row>
    <row r="718" spans="1:5" x14ac:dyDescent="0.25">
      <c r="A718" s="8" t="s">
        <v>312</v>
      </c>
      <c r="B718" s="102">
        <v>81</v>
      </c>
      <c r="C718" s="15">
        <v>203</v>
      </c>
      <c r="D718" s="83">
        <v>2.7377584423639378</v>
      </c>
      <c r="E718" s="106">
        <f t="shared" si="9"/>
        <v>11.957556948075862</v>
      </c>
    </row>
    <row r="719" spans="1:5" x14ac:dyDescent="0.25">
      <c r="A719" s="8" t="s">
        <v>312</v>
      </c>
      <c r="B719" s="102">
        <v>81</v>
      </c>
      <c r="C719" s="15">
        <v>204</v>
      </c>
      <c r="D719" s="83">
        <v>4.4747803527877963</v>
      </c>
      <c r="E719" s="106">
        <f t="shared" si="9"/>
        <v>11.941038250574552</v>
      </c>
    </row>
    <row r="720" spans="1:5" x14ac:dyDescent="0.25">
      <c r="A720" s="8" t="s">
        <v>312</v>
      </c>
      <c r="B720" s="102">
        <v>81</v>
      </c>
      <c r="C720" s="15">
        <v>205</v>
      </c>
      <c r="D720" s="83">
        <v>3.6517318676542021</v>
      </c>
      <c r="E720" s="106">
        <f t="shared" si="9"/>
        <v>11.924619069596165</v>
      </c>
    </row>
    <row r="721" spans="1:5" x14ac:dyDescent="0.25">
      <c r="A721" s="8" t="s">
        <v>312</v>
      </c>
      <c r="B721" s="102">
        <v>81</v>
      </c>
      <c r="C721" s="15">
        <v>206</v>
      </c>
      <c r="D721" s="83">
        <v>5.2380371886795496</v>
      </c>
      <c r="E721" s="106">
        <f t="shared" si="9"/>
        <v>11.908298335178333</v>
      </c>
    </row>
    <row r="722" spans="1:5" x14ac:dyDescent="0.25">
      <c r="A722" s="8" t="s">
        <v>313</v>
      </c>
      <c r="B722" s="102">
        <v>82</v>
      </c>
      <c r="C722" s="15">
        <v>205</v>
      </c>
      <c r="D722" s="83">
        <v>1.00201362540531</v>
      </c>
      <c r="E722" s="106">
        <f t="shared" si="9"/>
        <v>12.071836588973895</v>
      </c>
    </row>
    <row r="723" spans="1:5" x14ac:dyDescent="0.25">
      <c r="A723" s="8" t="s">
        <v>313</v>
      </c>
      <c r="B723" s="102">
        <v>82</v>
      </c>
      <c r="C723" s="15">
        <v>207</v>
      </c>
      <c r="D723" s="83">
        <v>1.3049443737511892</v>
      </c>
      <c r="E723" s="106">
        <f t="shared" si="9"/>
        <v>12.038890734574888</v>
      </c>
    </row>
    <row r="724" spans="1:5" x14ac:dyDescent="0.25">
      <c r="A724" s="8" t="s">
        <v>313</v>
      </c>
      <c r="B724" s="102">
        <v>82</v>
      </c>
      <c r="C724" s="15">
        <v>208</v>
      </c>
      <c r="D724" s="83">
        <v>0.82811529038991527</v>
      </c>
      <c r="E724" s="106">
        <f t="shared" si="9"/>
        <v>12.022564650675941</v>
      </c>
    </row>
    <row r="725" spans="1:5" x14ac:dyDescent="0.25">
      <c r="A725" s="8" t="s">
        <v>313</v>
      </c>
      <c r="B725" s="102">
        <v>82</v>
      </c>
      <c r="C725" s="15">
        <v>210</v>
      </c>
      <c r="D725" s="83">
        <v>3.7757224522649429</v>
      </c>
      <c r="E725" s="106">
        <f t="shared" si="9"/>
        <v>11.990200999599839</v>
      </c>
    </row>
    <row r="726" spans="1:5" x14ac:dyDescent="0.25">
      <c r="A726" s="8" t="s">
        <v>314</v>
      </c>
      <c r="B726" s="102">
        <v>83</v>
      </c>
      <c r="C726" s="15">
        <v>206</v>
      </c>
      <c r="D726" s="83">
        <v>1.868791164522617</v>
      </c>
      <c r="E726" s="106">
        <f t="shared" si="9"/>
        <v>12.202330392837057</v>
      </c>
    </row>
    <row r="727" spans="1:5" x14ac:dyDescent="0.25">
      <c r="A727" s="8" t="s">
        <v>314</v>
      </c>
      <c r="B727" s="102">
        <v>83</v>
      </c>
      <c r="C727" s="15">
        <v>207</v>
      </c>
      <c r="D727" s="83">
        <v>0.79998397426302947</v>
      </c>
      <c r="E727" s="106">
        <f t="shared" si="9"/>
        <v>12.185706475240435</v>
      </c>
    </row>
    <row r="728" spans="1:5" x14ac:dyDescent="0.25">
      <c r="A728" s="8" t="s">
        <v>314</v>
      </c>
      <c r="B728" s="102">
        <v>83</v>
      </c>
      <c r="C728" s="15">
        <v>208</v>
      </c>
      <c r="D728" s="83">
        <v>2.3081577205519266</v>
      </c>
      <c r="E728" s="106">
        <f t="shared" si="9"/>
        <v>12.169181292757354</v>
      </c>
    </row>
    <row r="729" spans="1:5" x14ac:dyDescent="0.25">
      <c r="A729" s="8" t="s">
        <v>314</v>
      </c>
      <c r="B729" s="102">
        <v>83</v>
      </c>
      <c r="C729" s="15">
        <v>209</v>
      </c>
      <c r="D729" s="83">
        <v>1.81663388434179</v>
      </c>
      <c r="E729" s="106">
        <f t="shared" si="9"/>
        <v>12.152753798867515</v>
      </c>
    </row>
    <row r="730" spans="1:5" x14ac:dyDescent="0.25">
      <c r="A730" s="8" t="s">
        <v>314</v>
      </c>
      <c r="B730" s="102">
        <v>83</v>
      </c>
      <c r="C730" s="15">
        <v>210</v>
      </c>
      <c r="D730" s="83">
        <v>4.8724066664933998</v>
      </c>
      <c r="E730" s="106">
        <f t="shared" si="9"/>
        <v>12.136422963009593</v>
      </c>
    </row>
    <row r="731" spans="1:5" x14ac:dyDescent="0.25">
      <c r="A731" s="8" t="s">
        <v>314</v>
      </c>
      <c r="B731" s="102">
        <v>83</v>
      </c>
      <c r="C731" s="15">
        <v>211</v>
      </c>
      <c r="D731" s="83">
        <v>4.2915806630634403</v>
      </c>
      <c r="E731" s="106">
        <f t="shared" si="9"/>
        <v>12.120187770264092</v>
      </c>
    </row>
    <row r="732" spans="1:5" x14ac:dyDescent="0.25">
      <c r="A732" s="8" t="s">
        <v>315</v>
      </c>
      <c r="B732" s="102">
        <v>84</v>
      </c>
      <c r="C732" s="15">
        <v>209</v>
      </c>
      <c r="D732" s="83">
        <v>0.21688114153675617</v>
      </c>
      <c r="E732" s="106">
        <f t="shared" si="9"/>
        <v>12.299172519335798</v>
      </c>
    </row>
    <row r="733" spans="1:5" x14ac:dyDescent="0.25">
      <c r="A733" s="8" t="s">
        <v>315</v>
      </c>
      <c r="B733" s="102">
        <v>84</v>
      </c>
      <c r="C733" s="15">
        <v>211</v>
      </c>
      <c r="D733" s="83">
        <v>2.9215567100001674</v>
      </c>
      <c r="E733" s="106">
        <f t="shared" si="9"/>
        <v>12.266214128941971</v>
      </c>
    </row>
    <row r="734" spans="1:5" x14ac:dyDescent="0.25">
      <c r="A734" s="8" t="s">
        <v>316</v>
      </c>
      <c r="B734" s="102">
        <v>85</v>
      </c>
      <c r="C734" s="15">
        <v>210</v>
      </c>
      <c r="D734" s="83">
        <v>1.3414869496399087</v>
      </c>
      <c r="E734" s="106">
        <f t="shared" si="9"/>
        <v>12.4288668898291</v>
      </c>
    </row>
    <row r="735" spans="1:5" x14ac:dyDescent="0.25">
      <c r="A735" s="8" t="s">
        <v>316</v>
      </c>
      <c r="B735" s="102">
        <v>85</v>
      </c>
      <c r="C735" s="15">
        <v>211</v>
      </c>
      <c r="D735" s="83">
        <v>0.81608318763900434</v>
      </c>
      <c r="E735" s="106">
        <f t="shared" si="9"/>
        <v>12.412240487619853</v>
      </c>
    </row>
    <row r="736" spans="1:5" x14ac:dyDescent="0.25">
      <c r="A736" s="8" t="s">
        <v>316</v>
      </c>
      <c r="B736" s="102">
        <v>85</v>
      </c>
      <c r="C736" s="15">
        <v>212</v>
      </c>
      <c r="D736" s="83">
        <v>3.753423567041263</v>
      </c>
      <c r="E736" s="106">
        <f t="shared" si="9"/>
        <v>12.39571100950285</v>
      </c>
    </row>
    <row r="737" spans="1:5" x14ac:dyDescent="0.25">
      <c r="A737" s="8" t="s">
        <v>316</v>
      </c>
      <c r="B737" s="102">
        <v>85</v>
      </c>
      <c r="C737" s="15">
        <v>219</v>
      </c>
      <c r="D737" s="83">
        <v>5.4067660808228233</v>
      </c>
      <c r="E737" s="106">
        <f t="shared" si="9"/>
        <v>12.282635706666978</v>
      </c>
    </row>
    <row r="738" spans="1:5" x14ac:dyDescent="0.25">
      <c r="A738" s="8" t="s">
        <v>317</v>
      </c>
      <c r="B738" s="102">
        <v>86</v>
      </c>
      <c r="C738" s="15">
        <v>222</v>
      </c>
      <c r="D738" s="83">
        <v>3.7788085988771698</v>
      </c>
      <c r="E738" s="106">
        <f t="shared" si="9"/>
        <v>12.379479915885879</v>
      </c>
    </row>
    <row r="739" spans="1:5" x14ac:dyDescent="0.25">
      <c r="A739" s="8" t="s">
        <v>318</v>
      </c>
      <c r="B739" s="102">
        <v>87</v>
      </c>
      <c r="C739" s="15">
        <v>223</v>
      </c>
      <c r="D739" s="83">
        <v>4.8578642355899389</v>
      </c>
      <c r="E739" s="106">
        <f t="shared" si="9"/>
        <v>12.507535343253929</v>
      </c>
    </row>
    <row r="740" spans="1:5" x14ac:dyDescent="0.25">
      <c r="A740" s="8" t="s">
        <v>318</v>
      </c>
      <c r="B740" s="102">
        <v>87</v>
      </c>
      <c r="C740" s="15">
        <v>224</v>
      </c>
      <c r="D740" s="83">
        <v>6.6109932574541181</v>
      </c>
      <c r="E740" s="106">
        <f t="shared" si="9"/>
        <v>12.491731106930855</v>
      </c>
    </row>
    <row r="741" spans="1:5" x14ac:dyDescent="0.25">
      <c r="A741" s="8" t="s">
        <v>319</v>
      </c>
      <c r="B741" s="102">
        <v>88</v>
      </c>
      <c r="C741" s="15">
        <v>223</v>
      </c>
      <c r="D741" s="83">
        <v>3.1538428196174553</v>
      </c>
      <c r="E741" s="106">
        <f t="shared" si="9"/>
        <v>12.651300117314319</v>
      </c>
    </row>
    <row r="742" spans="1:5" x14ac:dyDescent="0.25">
      <c r="A742" s="8" t="s">
        <v>319</v>
      </c>
      <c r="B742" s="102">
        <v>88</v>
      </c>
      <c r="C742" s="15">
        <v>225</v>
      </c>
      <c r="D742" s="83">
        <v>4.0612103298939575</v>
      </c>
      <c r="E742" s="106">
        <f t="shared" si="9"/>
        <v>12.619416240031697</v>
      </c>
    </row>
    <row r="743" spans="1:5" x14ac:dyDescent="0.25">
      <c r="A743" s="8" t="s">
        <v>319</v>
      </c>
      <c r="B743" s="102">
        <v>88</v>
      </c>
      <c r="C743" s="15">
        <v>226</v>
      </c>
      <c r="D743" s="83">
        <v>3.1091914311961735</v>
      </c>
      <c r="E743" s="106">
        <f t="shared" si="9"/>
        <v>12.603605305525647</v>
      </c>
    </row>
    <row r="744" spans="1:5" x14ac:dyDescent="0.25">
      <c r="A744" s="8" t="s">
        <v>320</v>
      </c>
      <c r="B744" s="102">
        <v>89</v>
      </c>
      <c r="C744" s="15">
        <v>225</v>
      </c>
      <c r="D744" s="83">
        <v>3.032771417983692</v>
      </c>
      <c r="E744" s="106">
        <f t="shared" si="9"/>
        <v>12.762818697304784</v>
      </c>
    </row>
    <row r="745" spans="1:5" x14ac:dyDescent="0.25">
      <c r="A745" s="8" t="s">
        <v>320</v>
      </c>
      <c r="B745" s="102">
        <v>89</v>
      </c>
      <c r="C745" s="15">
        <v>226</v>
      </c>
      <c r="D745" s="83">
        <v>4.8002292800690691</v>
      </c>
      <c r="E745" s="106">
        <f t="shared" si="9"/>
        <v>12.746828093088439</v>
      </c>
    </row>
    <row r="746" spans="1:5" x14ac:dyDescent="0.25">
      <c r="A746" s="8" t="s">
        <v>320</v>
      </c>
      <c r="B746" s="102">
        <v>89</v>
      </c>
      <c r="C746" s="15">
        <v>227</v>
      </c>
      <c r="D746" s="83">
        <v>3.7500522021577782</v>
      </c>
      <c r="E746" s="106">
        <f t="shared" si="9"/>
        <v>12.730924666562874</v>
      </c>
    </row>
    <row r="747" spans="1:5" x14ac:dyDescent="0.25">
      <c r="A747" s="8" t="s">
        <v>320</v>
      </c>
      <c r="B747" s="102">
        <v>89</v>
      </c>
      <c r="C747" s="15">
        <v>228</v>
      </c>
      <c r="D747" s="83">
        <v>5.8351648812655075</v>
      </c>
      <c r="E747" s="106">
        <f t="shared" si="9"/>
        <v>12.715107569755444</v>
      </c>
    </row>
    <row r="748" spans="1:5" x14ac:dyDescent="0.25">
      <c r="A748" s="8" t="s">
        <v>320</v>
      </c>
      <c r="B748" s="102">
        <v>89</v>
      </c>
      <c r="C748" s="15">
        <v>229</v>
      </c>
      <c r="D748" s="83">
        <v>4.8300878831523439</v>
      </c>
      <c r="E748" s="106">
        <f t="shared" si="9"/>
        <v>12.699375966561538</v>
      </c>
    </row>
    <row r="749" spans="1:5" x14ac:dyDescent="0.25">
      <c r="A749" s="8" t="s">
        <v>321</v>
      </c>
      <c r="B749" s="102">
        <v>90</v>
      </c>
      <c r="C749" s="15">
        <v>226</v>
      </c>
      <c r="D749" s="83">
        <v>0.94300032868010897</v>
      </c>
      <c r="E749" s="106">
        <f t="shared" si="9"/>
        <v>12.890050880651231</v>
      </c>
    </row>
    <row r="750" spans="1:5" x14ac:dyDescent="0.25">
      <c r="A750" s="8" t="s">
        <v>321</v>
      </c>
      <c r="B750" s="102">
        <v>90</v>
      </c>
      <c r="C750" s="15">
        <v>227</v>
      </c>
      <c r="D750" s="83">
        <v>2.7159954068891121</v>
      </c>
      <c r="E750" s="106">
        <f t="shared" si="9"/>
        <v>12.873968763939985</v>
      </c>
    </row>
    <row r="751" spans="1:5" x14ac:dyDescent="0.25">
      <c r="A751" s="8" t="s">
        <v>321</v>
      </c>
      <c r="B751" s="102">
        <v>90</v>
      </c>
      <c r="C751" s="15">
        <v>228</v>
      </c>
      <c r="D751" s="83">
        <v>1.5969565537041972</v>
      </c>
      <c r="E751" s="106">
        <f t="shared" si="9"/>
        <v>12.857973946943709</v>
      </c>
    </row>
    <row r="752" spans="1:5" x14ac:dyDescent="0.25">
      <c r="A752" s="8" t="s">
        <v>321</v>
      </c>
      <c r="B752" s="102">
        <v>90</v>
      </c>
      <c r="C752" s="15">
        <v>229</v>
      </c>
      <c r="D752" s="83">
        <v>3.4148056911503262</v>
      </c>
      <c r="E752" s="106">
        <f t="shared" si="9"/>
        <v>12.842065584163352</v>
      </c>
    </row>
    <row r="753" spans="1:5" x14ac:dyDescent="0.25">
      <c r="A753" s="8" t="s">
        <v>321</v>
      </c>
      <c r="B753" s="102">
        <v>90</v>
      </c>
      <c r="C753" s="15">
        <v>230</v>
      </c>
      <c r="D753" s="83">
        <v>2.4084755346515383</v>
      </c>
      <c r="E753" s="106">
        <f t="shared" si="9"/>
        <v>12.826242841882323</v>
      </c>
    </row>
    <row r="754" spans="1:5" x14ac:dyDescent="0.25">
      <c r="A754" s="8" t="s">
        <v>321</v>
      </c>
      <c r="B754" s="102">
        <v>90</v>
      </c>
      <c r="C754" s="15">
        <v>231</v>
      </c>
      <c r="D754" s="83">
        <v>4.0840305149863738</v>
      </c>
      <c r="E754" s="106">
        <f t="shared" si="9"/>
        <v>12.810504897952452</v>
      </c>
    </row>
    <row r="755" spans="1:5" x14ac:dyDescent="0.25">
      <c r="A755" s="8" t="s">
        <v>321</v>
      </c>
      <c r="B755" s="102">
        <v>90</v>
      </c>
      <c r="C755" s="15">
        <v>232</v>
      </c>
      <c r="D755" s="83">
        <v>3.2416086502846104</v>
      </c>
      <c r="E755" s="106">
        <f t="shared" si="9"/>
        <v>12.794850941584775</v>
      </c>
    </row>
    <row r="756" spans="1:5" x14ac:dyDescent="0.25">
      <c r="A756" s="8" t="s">
        <v>322</v>
      </c>
      <c r="B756" s="102">
        <v>91</v>
      </c>
      <c r="C756" s="15">
        <v>231</v>
      </c>
      <c r="D756" s="83">
        <v>3.3403299471319019</v>
      </c>
      <c r="E756" s="106">
        <f t="shared" si="9"/>
        <v>12.952843841263036</v>
      </c>
    </row>
    <row r="757" spans="1:5" x14ac:dyDescent="0.25">
      <c r="A757" s="8" t="s">
        <v>322</v>
      </c>
      <c r="B757" s="102">
        <v>91</v>
      </c>
      <c r="C757" s="15">
        <v>232</v>
      </c>
      <c r="D757" s="83">
        <v>5.0405163170222016</v>
      </c>
      <c r="E757" s="106">
        <f t="shared" si="9"/>
        <v>12.93701595204683</v>
      </c>
    </row>
    <row r="758" spans="1:5" x14ac:dyDescent="0.25">
      <c r="A758" s="8" t="s">
        <v>322</v>
      </c>
      <c r="B758" s="102">
        <v>91</v>
      </c>
      <c r="C758" s="15">
        <v>233</v>
      </c>
      <c r="D758" s="83">
        <v>4.2657620709346276</v>
      </c>
      <c r="E758" s="106">
        <f t="shared" si="9"/>
        <v>12.9212721750688</v>
      </c>
    </row>
    <row r="759" spans="1:5" x14ac:dyDescent="0.25">
      <c r="A759" s="8" t="s">
        <v>322</v>
      </c>
      <c r="B759" s="102">
        <v>91</v>
      </c>
      <c r="C759" s="15">
        <v>234</v>
      </c>
      <c r="D759" s="83">
        <v>5.8874380384342304</v>
      </c>
      <c r="E759" s="106">
        <f t="shared" si="9"/>
        <v>12.905611712886104</v>
      </c>
    </row>
    <row r="760" spans="1:5" x14ac:dyDescent="0.25">
      <c r="A760" s="8" t="s">
        <v>322</v>
      </c>
      <c r="B760" s="102">
        <v>91</v>
      </c>
      <c r="C760" s="15">
        <v>235</v>
      </c>
      <c r="D760" s="83">
        <v>5.1001553709898229</v>
      </c>
      <c r="E760" s="106">
        <f t="shared" si="9"/>
        <v>12.890033778934431</v>
      </c>
    </row>
    <row r="761" spans="1:5" x14ac:dyDescent="0.25">
      <c r="A761" s="8" t="s">
        <v>323</v>
      </c>
      <c r="B761" s="102">
        <v>92</v>
      </c>
      <c r="C761" s="15">
        <v>231</v>
      </c>
      <c r="D761" s="83">
        <v>1.8489759279604969</v>
      </c>
      <c r="E761" s="106">
        <f t="shared" si="9"/>
        <v>13.095182784573618</v>
      </c>
    </row>
    <row r="762" spans="1:5" x14ac:dyDescent="0.25">
      <c r="A762" s="8" t="s">
        <v>323</v>
      </c>
      <c r="B762" s="102">
        <v>92</v>
      </c>
      <c r="C762" s="15">
        <v>232</v>
      </c>
      <c r="D762" s="83">
        <v>1.0180099342627071</v>
      </c>
      <c r="E762" s="106">
        <f t="shared" si="9"/>
        <v>13.079180962508882</v>
      </c>
    </row>
    <row r="763" spans="1:5" x14ac:dyDescent="0.25">
      <c r="A763" s="8" t="s">
        <v>323</v>
      </c>
      <c r="B763" s="102">
        <v>92</v>
      </c>
      <c r="C763" s="15">
        <v>233</v>
      </c>
      <c r="D763" s="83">
        <v>2.6415695608070831</v>
      </c>
      <c r="E763" s="106">
        <f t="shared" si="9"/>
        <v>13.063264176992634</v>
      </c>
    </row>
    <row r="764" spans="1:5" x14ac:dyDescent="0.25">
      <c r="A764" s="8" t="s">
        <v>323</v>
      </c>
      <c r="B764" s="102">
        <v>92</v>
      </c>
      <c r="C764" s="15">
        <v>234</v>
      </c>
      <c r="D764" s="83">
        <v>1.9348704020005356</v>
      </c>
      <c r="E764" s="106">
        <f t="shared" si="9"/>
        <v>13.047431621818919</v>
      </c>
    </row>
    <row r="765" spans="1:5" x14ac:dyDescent="0.25">
      <c r="A765" s="8" t="s">
        <v>323</v>
      </c>
      <c r="B765" s="102">
        <v>92</v>
      </c>
      <c r="C765" s="15">
        <v>235</v>
      </c>
      <c r="D765" s="83">
        <v>3.5825848499032742</v>
      </c>
      <c r="E765" s="106">
        <f t="shared" si="9"/>
        <v>13.031682501779864</v>
      </c>
    </row>
    <row r="766" spans="1:5" x14ac:dyDescent="0.25">
      <c r="A766" s="8" t="s">
        <v>323</v>
      </c>
      <c r="B766" s="102">
        <v>92</v>
      </c>
      <c r="C766" s="15">
        <v>236</v>
      </c>
      <c r="D766" s="83">
        <v>2.7441481559256524</v>
      </c>
      <c r="E766" s="106">
        <f t="shared" si="9"/>
        <v>13.016016032470084</v>
      </c>
    </row>
    <row r="767" spans="1:5" x14ac:dyDescent="0.25">
      <c r="A767" s="8" t="s">
        <v>323</v>
      </c>
      <c r="B767" s="102">
        <v>92</v>
      </c>
      <c r="C767" s="15">
        <v>237</v>
      </c>
      <c r="D767" s="83">
        <v>4.2125238111491825</v>
      </c>
      <c r="E767" s="106">
        <f t="shared" si="9"/>
        <v>13.000431440095415</v>
      </c>
    </row>
    <row r="768" spans="1:5" x14ac:dyDescent="0.25">
      <c r="A768" s="8" t="s">
        <v>323</v>
      </c>
      <c r="B768" s="102">
        <v>92</v>
      </c>
      <c r="C768" s="15">
        <v>238</v>
      </c>
      <c r="D768" s="83">
        <v>3.5993250869237157</v>
      </c>
      <c r="E768" s="106">
        <f t="shared" si="9"/>
        <v>12.984927961285798</v>
      </c>
    </row>
    <row r="769" spans="1:5" x14ac:dyDescent="0.25">
      <c r="A769" s="8" t="s">
        <v>323</v>
      </c>
      <c r="B769" s="102">
        <v>92</v>
      </c>
      <c r="C769" s="15">
        <v>239</v>
      </c>
      <c r="D769" s="83">
        <v>4.9781343936959903</v>
      </c>
      <c r="E769" s="106">
        <f t="shared" si="9"/>
        <v>12.969504842912212</v>
      </c>
    </row>
    <row r="770" spans="1:5" x14ac:dyDescent="0.25">
      <c r="A770" s="8" t="s">
        <v>324</v>
      </c>
      <c r="B770" s="102">
        <v>93</v>
      </c>
      <c r="C770" s="15">
        <v>236</v>
      </c>
      <c r="D770" s="83">
        <v>4.250275910302701</v>
      </c>
      <c r="E770" s="106">
        <f t="shared" si="9"/>
        <v>13.157494467605627</v>
      </c>
    </row>
    <row r="771" spans="1:5" x14ac:dyDescent="0.25">
      <c r="A771" s="8" t="s">
        <v>324</v>
      </c>
      <c r="B771" s="102">
        <v>93</v>
      </c>
      <c r="C771" s="15">
        <v>237</v>
      </c>
      <c r="D771" s="83">
        <v>3.5155658187817709</v>
      </c>
      <c r="E771" s="106">
        <f t="shared" si="9"/>
        <v>13.141740477487756</v>
      </c>
    </row>
    <row r="772" spans="1:5" x14ac:dyDescent="0.25">
      <c r="A772" s="8" t="s">
        <v>324</v>
      </c>
      <c r="B772" s="102">
        <v>93</v>
      </c>
      <c r="C772" s="15">
        <v>238</v>
      </c>
      <c r="D772" s="83">
        <v>5.0042297321288434</v>
      </c>
      <c r="E772" s="106">
        <f t="shared" si="9"/>
        <v>13.126068482604122</v>
      </c>
    </row>
    <row r="773" spans="1:5" x14ac:dyDescent="0.25">
      <c r="A773" s="8" t="s">
        <v>324</v>
      </c>
      <c r="B773" s="102">
        <v>93</v>
      </c>
      <c r="C773" s="15">
        <v>239</v>
      </c>
      <c r="D773" s="83">
        <v>4.4341355216231468</v>
      </c>
      <c r="E773" s="106">
        <f t="shared" si="9"/>
        <v>13.110477721639519</v>
      </c>
    </row>
    <row r="774" spans="1:5" x14ac:dyDescent="0.25">
      <c r="A774" s="8" t="s">
        <v>324</v>
      </c>
      <c r="B774" s="102">
        <v>93</v>
      </c>
      <c r="C774" s="15">
        <v>240</v>
      </c>
      <c r="D774" s="83">
        <v>5.7995121605152393</v>
      </c>
      <c r="E774" s="106">
        <f t="shared" si="9"/>
        <v>13.094967443450077</v>
      </c>
    </row>
    <row r="775" spans="1:5" x14ac:dyDescent="0.25">
      <c r="D775" s="83"/>
      <c r="E775" s="83"/>
    </row>
    <row r="776" spans="1:5" x14ac:dyDescent="0.25">
      <c r="D776" s="83"/>
      <c r="E776" s="83"/>
    </row>
    <row r="777" spans="1:5" x14ac:dyDescent="0.25">
      <c r="D777" s="83"/>
      <c r="E777" s="83"/>
    </row>
    <row r="778" spans="1:5" x14ac:dyDescent="0.25">
      <c r="D778" s="83"/>
      <c r="E778" s="83"/>
    </row>
    <row r="779" spans="1:5" x14ac:dyDescent="0.25">
      <c r="D779" s="83"/>
      <c r="E779" s="83"/>
    </row>
    <row r="780" spans="1:5" x14ac:dyDescent="0.25">
      <c r="D780" s="83"/>
      <c r="E780" s="83"/>
    </row>
    <row r="781" spans="1:5" x14ac:dyDescent="0.25">
      <c r="D781" s="83"/>
      <c r="E781" s="83"/>
    </row>
    <row r="782" spans="1:5" x14ac:dyDescent="0.25">
      <c r="D782" s="83"/>
      <c r="E782" s="83"/>
    </row>
    <row r="783" spans="1:5" x14ac:dyDescent="0.25">
      <c r="D783" s="83"/>
      <c r="E783" s="83"/>
    </row>
    <row r="784" spans="1:5" x14ac:dyDescent="0.25">
      <c r="D784" s="83"/>
      <c r="E784" s="83"/>
    </row>
    <row r="785" spans="4:5" x14ac:dyDescent="0.25">
      <c r="D785" s="83"/>
      <c r="E785" s="83"/>
    </row>
    <row r="786" spans="4:5" x14ac:dyDescent="0.25">
      <c r="D786" s="83"/>
      <c r="E786" s="83"/>
    </row>
    <row r="787" spans="4:5" x14ac:dyDescent="0.25">
      <c r="D787" s="83"/>
      <c r="E787" s="83"/>
    </row>
    <row r="788" spans="4:5" x14ac:dyDescent="0.25">
      <c r="D788" s="83"/>
      <c r="E788" s="83"/>
    </row>
    <row r="789" spans="4:5" x14ac:dyDescent="0.25">
      <c r="D789" s="83"/>
      <c r="E789" s="83"/>
    </row>
    <row r="790" spans="4:5" x14ac:dyDescent="0.25">
      <c r="D790" s="83"/>
      <c r="E790" s="83"/>
    </row>
    <row r="791" spans="4:5" x14ac:dyDescent="0.25">
      <c r="D791" s="83"/>
      <c r="E791" s="83"/>
    </row>
    <row r="792" spans="4:5" x14ac:dyDescent="0.25">
      <c r="D792" s="83"/>
      <c r="E792" s="83"/>
    </row>
    <row r="793" spans="4:5" x14ac:dyDescent="0.25">
      <c r="D793" s="83"/>
      <c r="E793" s="83"/>
    </row>
    <row r="794" spans="4:5" x14ac:dyDescent="0.25">
      <c r="D794" s="83"/>
      <c r="E794" s="83"/>
    </row>
    <row r="795" spans="4:5" x14ac:dyDescent="0.25">
      <c r="D795" s="83"/>
      <c r="E795" s="83"/>
    </row>
    <row r="796" spans="4:5" x14ac:dyDescent="0.25">
      <c r="D796" s="83"/>
      <c r="E796" s="83"/>
    </row>
    <row r="797" spans="4:5" x14ac:dyDescent="0.25">
      <c r="D797" s="83"/>
      <c r="E797" s="83"/>
    </row>
    <row r="798" spans="4:5" x14ac:dyDescent="0.25">
      <c r="D798" s="83"/>
      <c r="E798" s="83"/>
    </row>
    <row r="799" spans="4:5" x14ac:dyDescent="0.25">
      <c r="D799" s="83"/>
      <c r="E799" s="83"/>
    </row>
    <row r="800" spans="4:5" x14ac:dyDescent="0.25">
      <c r="D800" s="83"/>
      <c r="E800" s="83"/>
    </row>
    <row r="801" spans="4:5" x14ac:dyDescent="0.25">
      <c r="D801" s="83"/>
      <c r="E801" s="83"/>
    </row>
    <row r="802" spans="4:5" x14ac:dyDescent="0.25">
      <c r="D802" s="83"/>
      <c r="E802" s="83"/>
    </row>
    <row r="803" spans="4:5" x14ac:dyDescent="0.25">
      <c r="D803" s="83"/>
      <c r="E803" s="83"/>
    </row>
    <row r="804" spans="4:5" x14ac:dyDescent="0.25">
      <c r="D804" s="83"/>
      <c r="E804" s="83"/>
    </row>
    <row r="805" spans="4:5" x14ac:dyDescent="0.25">
      <c r="D805" s="83"/>
      <c r="E805" s="83"/>
    </row>
    <row r="806" spans="4:5" x14ac:dyDescent="0.25">
      <c r="D806" s="83"/>
      <c r="E806" s="83"/>
    </row>
    <row r="807" spans="4:5" x14ac:dyDescent="0.25">
      <c r="D807" s="83"/>
      <c r="E807" s="83"/>
    </row>
    <row r="808" spans="4:5" x14ac:dyDescent="0.25">
      <c r="D808" s="83"/>
      <c r="E808" s="83"/>
    </row>
    <row r="809" spans="4:5" x14ac:dyDescent="0.25">
      <c r="D809" s="83"/>
      <c r="E809" s="83"/>
    </row>
    <row r="810" spans="4:5" x14ac:dyDescent="0.25">
      <c r="D810" s="83"/>
      <c r="E810" s="83"/>
    </row>
    <row r="811" spans="4:5" x14ac:dyDescent="0.25">
      <c r="D811" s="83"/>
      <c r="E811" s="83"/>
    </row>
    <row r="812" spans="4:5" x14ac:dyDescent="0.25">
      <c r="D812" s="83"/>
      <c r="E812" s="83"/>
    </row>
    <row r="813" spans="4:5" x14ac:dyDescent="0.25">
      <c r="D813" s="83"/>
      <c r="E813" s="83"/>
    </row>
    <row r="814" spans="4:5" x14ac:dyDescent="0.25">
      <c r="D814" s="83"/>
      <c r="E814" s="83"/>
    </row>
    <row r="815" spans="4:5" x14ac:dyDescent="0.25">
      <c r="D815" s="83"/>
      <c r="E815" s="83"/>
    </row>
    <row r="816" spans="4:5" x14ac:dyDescent="0.25">
      <c r="D816" s="83"/>
      <c r="E816" s="83"/>
    </row>
    <row r="817" spans="4:5" x14ac:dyDescent="0.25">
      <c r="D817" s="83"/>
      <c r="E817" s="83"/>
    </row>
    <row r="818" spans="4:5" x14ac:dyDescent="0.25">
      <c r="D818" s="83"/>
      <c r="E818" s="83"/>
    </row>
    <row r="819" spans="4:5" x14ac:dyDescent="0.25">
      <c r="D819" s="83"/>
      <c r="E819" s="83"/>
    </row>
    <row r="820" spans="4:5" x14ac:dyDescent="0.25">
      <c r="D820" s="83"/>
      <c r="E820" s="83"/>
    </row>
    <row r="821" spans="4:5" x14ac:dyDescent="0.25">
      <c r="D821" s="83"/>
      <c r="E821" s="83"/>
    </row>
    <row r="822" spans="4:5" x14ac:dyDescent="0.25">
      <c r="D822" s="83"/>
      <c r="E822" s="83"/>
    </row>
    <row r="823" spans="4:5" x14ac:dyDescent="0.25">
      <c r="D823" s="83"/>
      <c r="E823" s="83"/>
    </row>
    <row r="824" spans="4:5" x14ac:dyDescent="0.25">
      <c r="D824" s="83"/>
      <c r="E824" s="83"/>
    </row>
    <row r="825" spans="4:5" x14ac:dyDescent="0.25">
      <c r="D825" s="83"/>
      <c r="E825" s="83"/>
    </row>
    <row r="826" spans="4:5" x14ac:dyDescent="0.25">
      <c r="D826" s="83"/>
      <c r="E826" s="83"/>
    </row>
    <row r="827" spans="4:5" x14ac:dyDescent="0.25">
      <c r="D827" s="83"/>
      <c r="E827" s="83"/>
    </row>
    <row r="828" spans="4:5" x14ac:dyDescent="0.25">
      <c r="D828" s="83"/>
      <c r="E828" s="83"/>
    </row>
    <row r="829" spans="4:5" x14ac:dyDescent="0.25">
      <c r="D829" s="83"/>
      <c r="E829" s="83"/>
    </row>
    <row r="830" spans="4:5" x14ac:dyDescent="0.25">
      <c r="D830" s="83"/>
      <c r="E830" s="83"/>
    </row>
    <row r="831" spans="4:5" x14ac:dyDescent="0.25">
      <c r="D831" s="83"/>
      <c r="E831" s="83"/>
    </row>
    <row r="832" spans="4:5" x14ac:dyDescent="0.25">
      <c r="D832" s="83"/>
      <c r="E832" s="83"/>
    </row>
    <row r="833" spans="4:5" x14ac:dyDescent="0.25">
      <c r="D833" s="83"/>
      <c r="E833" s="83"/>
    </row>
    <row r="834" spans="4:5" x14ac:dyDescent="0.25">
      <c r="D834" s="83"/>
      <c r="E834" s="83"/>
    </row>
    <row r="835" spans="4:5" x14ac:dyDescent="0.25">
      <c r="D835" s="83"/>
      <c r="E835" s="83"/>
    </row>
    <row r="836" spans="4:5" x14ac:dyDescent="0.25">
      <c r="D836" s="83"/>
      <c r="E836" s="83"/>
    </row>
    <row r="837" spans="4:5" x14ac:dyDescent="0.25">
      <c r="D837" s="83"/>
      <c r="E837" s="83"/>
    </row>
    <row r="838" spans="4:5" x14ac:dyDescent="0.25">
      <c r="D838" s="83"/>
      <c r="E838" s="83"/>
    </row>
    <row r="839" spans="4:5" x14ac:dyDescent="0.25">
      <c r="D839" s="83"/>
      <c r="E839" s="83"/>
    </row>
    <row r="840" spans="4:5" x14ac:dyDescent="0.25">
      <c r="D840" s="83"/>
      <c r="E840" s="83"/>
    </row>
    <row r="841" spans="4:5" x14ac:dyDescent="0.25">
      <c r="D841" s="83"/>
      <c r="E841" s="83"/>
    </row>
    <row r="842" spans="4:5" x14ac:dyDescent="0.25">
      <c r="D842" s="83"/>
      <c r="E842" s="83"/>
    </row>
    <row r="843" spans="4:5" x14ac:dyDescent="0.25">
      <c r="D843" s="83"/>
      <c r="E843" s="83"/>
    </row>
    <row r="844" spans="4:5" x14ac:dyDescent="0.25">
      <c r="D844" s="83"/>
      <c r="E844" s="83"/>
    </row>
    <row r="845" spans="4:5" x14ac:dyDescent="0.25">
      <c r="D845" s="83"/>
      <c r="E845" s="83"/>
    </row>
    <row r="846" spans="4:5" x14ac:dyDescent="0.25">
      <c r="D846" s="83"/>
      <c r="E846" s="83"/>
    </row>
    <row r="847" spans="4:5" x14ac:dyDescent="0.25">
      <c r="D847" s="83"/>
      <c r="E847" s="83"/>
    </row>
    <row r="848" spans="4:5" x14ac:dyDescent="0.25">
      <c r="D848" s="83"/>
      <c r="E848" s="83"/>
    </row>
    <row r="849" spans="4:5" x14ac:dyDescent="0.25">
      <c r="D849" s="83"/>
      <c r="E849" s="83"/>
    </row>
    <row r="850" spans="4:5" x14ac:dyDescent="0.25">
      <c r="D850" s="83"/>
      <c r="E850" s="83"/>
    </row>
    <row r="851" spans="4:5" x14ac:dyDescent="0.25">
      <c r="D851" s="83"/>
      <c r="E851" s="83"/>
    </row>
    <row r="852" spans="4:5" x14ac:dyDescent="0.25">
      <c r="D852" s="83"/>
      <c r="E852" s="83"/>
    </row>
    <row r="853" spans="4:5" x14ac:dyDescent="0.25">
      <c r="D853" s="83"/>
      <c r="E853" s="83"/>
    </row>
    <row r="854" spans="4:5" x14ac:dyDescent="0.25">
      <c r="D854" s="83"/>
      <c r="E854" s="83"/>
    </row>
    <row r="855" spans="4:5" x14ac:dyDescent="0.25">
      <c r="D855" s="83"/>
      <c r="E855" s="83"/>
    </row>
    <row r="856" spans="4:5" x14ac:dyDescent="0.25">
      <c r="D856" s="83"/>
      <c r="E856" s="83"/>
    </row>
    <row r="857" spans="4:5" x14ac:dyDescent="0.25">
      <c r="D857" s="83"/>
      <c r="E857" s="83"/>
    </row>
    <row r="858" spans="4:5" x14ac:dyDescent="0.25">
      <c r="D858" s="83"/>
      <c r="E858" s="83"/>
    </row>
  </sheetData>
  <phoneticPr fontId="5" type="noConversion"/>
  <printOptions gridLinesSet="0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ositivenenergies">
                <anchor moveWithCells="1" sizeWithCells="1">
                  <from>
                    <xdr:col>1</xdr:col>
                    <xdr:colOff>121920</xdr:colOff>
                    <xdr:row>193</xdr:row>
                    <xdr:rowOff>7620</xdr:rowOff>
                  </from>
                  <to>
                    <xdr:col>3</xdr:col>
                    <xdr:colOff>388620</xdr:colOff>
                    <xdr:row>197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D450"/>
  <sheetViews>
    <sheetView workbookViewId="0">
      <selection activeCell="D10" sqref="D10"/>
    </sheetView>
  </sheetViews>
  <sheetFormatPr defaultColWidth="9.88671875" defaultRowHeight="13.2" x14ac:dyDescent="0.25"/>
  <cols>
    <col min="1" max="1" width="9.88671875" style="8" customWidth="1"/>
    <col min="2" max="3" width="9.88671875" style="15" customWidth="1"/>
    <col min="4" max="4" width="8.88671875" style="15" customWidth="1"/>
    <col min="5" max="5" width="9.88671875" style="15" customWidth="1"/>
    <col min="6" max="6" width="12.88671875" style="14" customWidth="1"/>
    <col min="7" max="7" width="11.88671875" style="15" customWidth="1"/>
    <col min="8" max="8" width="13" style="15" customWidth="1"/>
    <col min="9" max="9" width="11.88671875" style="15" customWidth="1"/>
    <col min="10" max="10" width="7.88671875" style="15" customWidth="1"/>
    <col min="11" max="11" width="9.88671875" style="15" customWidth="1"/>
    <col min="12" max="16" width="9.88671875" style="15"/>
    <col min="17" max="17" width="14.109375" style="15" customWidth="1"/>
    <col min="18" max="18" width="10.88671875" style="15" customWidth="1"/>
    <col min="19" max="19" width="13.88671875" style="15" customWidth="1"/>
    <col min="20" max="20" width="12.88671875" style="15" customWidth="1"/>
    <col min="21" max="21" width="9.88671875" style="15"/>
    <col min="22" max="22" width="11.88671875" style="15" customWidth="1"/>
    <col min="23" max="23" width="16" style="15" customWidth="1"/>
    <col min="24" max="41" width="9.88671875" style="15"/>
    <col min="42" max="42" width="11.88671875" style="15" customWidth="1"/>
    <col min="43" max="67" width="9.88671875" style="15"/>
    <col min="68" max="68" width="9.88671875" style="15" customWidth="1"/>
    <col min="69" max="16384" width="9.88671875" style="15"/>
  </cols>
  <sheetData>
    <row r="1" spans="1:121" ht="17.25" customHeight="1" x14ac:dyDescent="0.3">
      <c r="A1" s="1" t="s">
        <v>526</v>
      </c>
      <c r="B1" s="13"/>
      <c r="C1" s="13"/>
      <c r="D1" s="13"/>
      <c r="E1" s="13"/>
    </row>
    <row r="2" spans="1:121" x14ac:dyDescent="0.25">
      <c r="A2" s="2" t="s">
        <v>1</v>
      </c>
      <c r="BW2" s="16" t="s">
        <v>2</v>
      </c>
      <c r="DQ2" s="16" t="s">
        <v>3</v>
      </c>
    </row>
    <row r="3" spans="1:121" x14ac:dyDescent="0.25">
      <c r="A3" s="3" t="s">
        <v>4</v>
      </c>
    </row>
    <row r="5" spans="1:121" x14ac:dyDescent="0.25">
      <c r="A5" s="4" t="s">
        <v>5</v>
      </c>
      <c r="B5" s="17"/>
      <c r="C5" s="18" t="s">
        <v>6</v>
      </c>
      <c r="D5" s="19" t="s">
        <v>7</v>
      </c>
      <c r="F5" s="15"/>
      <c r="G5" s="20" t="s">
        <v>8</v>
      </c>
      <c r="H5" s="21"/>
      <c r="I5" s="22"/>
      <c r="K5" s="23" t="s">
        <v>9</v>
      </c>
    </row>
    <row r="6" spans="1:121" x14ac:dyDescent="0.25">
      <c r="A6" s="5" t="s">
        <v>10</v>
      </c>
      <c r="C6" s="62">
        <f>+ZT</f>
        <v>6</v>
      </c>
      <c r="D6" s="62">
        <f>+MT</f>
        <v>12</v>
      </c>
      <c r="F6" s="15"/>
      <c r="G6" s="24" t="s">
        <v>11</v>
      </c>
      <c r="H6" s="67">
        <v>32</v>
      </c>
      <c r="I6" s="22" t="s">
        <v>12</v>
      </c>
      <c r="K6" s="23" t="s">
        <v>13</v>
      </c>
    </row>
    <row r="7" spans="1:121" x14ac:dyDescent="0.25">
      <c r="A7" s="5" t="s">
        <v>14</v>
      </c>
      <c r="C7" s="62">
        <f>+ZI</f>
        <v>0</v>
      </c>
      <c r="D7" s="62">
        <f>+MI</f>
        <v>1</v>
      </c>
      <c r="F7" s="15"/>
      <c r="G7" s="10" t="s">
        <v>15</v>
      </c>
      <c r="H7" s="68">
        <v>72</v>
      </c>
      <c r="I7" s="22"/>
      <c r="K7" s="23" t="s">
        <v>16</v>
      </c>
    </row>
    <row r="8" spans="1:121" x14ac:dyDescent="0.25">
      <c r="A8" s="6" t="s">
        <v>17</v>
      </c>
      <c r="C8" s="64">
        <f>+ZD</f>
        <v>2</v>
      </c>
      <c r="D8" s="65">
        <f>+MD</f>
        <v>4</v>
      </c>
      <c r="F8" s="15"/>
      <c r="K8" s="23" t="s">
        <v>18</v>
      </c>
    </row>
    <row r="9" spans="1:121" x14ac:dyDescent="0.25">
      <c r="A9" s="7" t="s">
        <v>19</v>
      </c>
      <c r="B9" s="25"/>
      <c r="C9" s="25"/>
      <c r="D9" s="66">
        <f>ENERGY1*D6/(MI)</f>
        <v>179.52</v>
      </c>
      <c r="E9" s="23" t="s">
        <v>20</v>
      </c>
      <c r="F9" s="15"/>
      <c r="G9" s="71" t="s">
        <v>516</v>
      </c>
      <c r="H9" s="70">
        <f>((D6+D7)/D7)*C6*C7/(D6^0.33+D7^0.33)</f>
        <v>0</v>
      </c>
      <c r="I9" s="69" t="s">
        <v>20</v>
      </c>
      <c r="K9" s="23" t="s">
        <v>21</v>
      </c>
    </row>
    <row r="10" spans="1:121" x14ac:dyDescent="0.25">
      <c r="A10" s="5" t="s">
        <v>22</v>
      </c>
      <c r="B10" s="26"/>
      <c r="C10" s="93"/>
      <c r="D10" s="63">
        <v>116</v>
      </c>
      <c r="E10" s="23" t="s">
        <v>23</v>
      </c>
      <c r="F10" s="69" t="s">
        <v>553</v>
      </c>
    </row>
    <row r="11" spans="1:121" x14ac:dyDescent="0.25">
      <c r="A11" s="5" t="s">
        <v>24</v>
      </c>
      <c r="B11" s="26"/>
      <c r="C11" s="26"/>
      <c r="D11" s="63">
        <f>+IBA!D11</f>
        <v>1E-4</v>
      </c>
      <c r="E11" s="23" t="s">
        <v>25</v>
      </c>
    </row>
    <row r="12" spans="1:121" x14ac:dyDescent="0.25">
      <c r="A12" s="6" t="s">
        <v>26</v>
      </c>
      <c r="B12" s="13"/>
      <c r="C12" s="13"/>
      <c r="D12" s="65">
        <v>0</v>
      </c>
      <c r="E12" s="27" t="str">
        <f>"MeV above ground state "&amp;$AC$65</f>
        <v>MeV above ground state 9Be</v>
      </c>
    </row>
    <row r="13" spans="1:121" ht="13.8" thickBot="1" x14ac:dyDescent="0.3"/>
    <row r="14" spans="1:121" ht="14.4" thickTop="1" thickBot="1" x14ac:dyDescent="0.3">
      <c r="A14" s="9" t="s">
        <v>27</v>
      </c>
      <c r="B14" s="28"/>
      <c r="C14" s="28"/>
      <c r="D14" s="28"/>
      <c r="E14" s="29"/>
    </row>
    <row r="15" spans="1:121" ht="14.4" thickTop="1" thickBot="1" x14ac:dyDescent="0.3">
      <c r="A15" s="7" t="s">
        <v>28</v>
      </c>
      <c r="B15" s="25"/>
      <c r="C15" s="30" t="str">
        <f>($AC$62&amp;$AC$58&amp;$AC$65)</f>
        <v>1n(12C,4He)9Be</v>
      </c>
      <c r="D15" s="31"/>
      <c r="E15" s="25"/>
      <c r="F15" s="32"/>
      <c r="G15" s="25"/>
      <c r="H15" s="25"/>
      <c r="I15" s="31"/>
      <c r="P15" s="15">
        <f>0.95*494</f>
        <v>469.29999999999995</v>
      </c>
    </row>
    <row r="16" spans="1:121" ht="13.8" thickBot="1" x14ac:dyDescent="0.3">
      <c r="A16" s="5" t="s">
        <v>29</v>
      </c>
      <c r="B16" s="26"/>
      <c r="C16" s="26"/>
      <c r="D16" s="33">
        <f>((INDEX($Z$69:$DQ$310,$D$6+1,$C$6+1+1)+INDEX($Z$69:$DQ$310,$D$7+1,$C$7+1+1)-INDEX($Z$69:$DQ$310,$D$8+1,$C$8+1+1)-INDEX($Z$69:$DQ$310,$D$32+1,$B$32+1+1))*931.48)-$D$12</f>
        <v>-5.701386948840069</v>
      </c>
      <c r="E16" s="34" t="s">
        <v>20</v>
      </c>
      <c r="F16" s="35" t="s">
        <v>30</v>
      </c>
      <c r="G16" s="26"/>
      <c r="H16" s="26"/>
      <c r="I16" s="22"/>
      <c r="S16" s="72" t="s">
        <v>523</v>
      </c>
      <c r="T16" s="15">
        <f>180/PI()</f>
        <v>57.295779513082323</v>
      </c>
    </row>
    <row r="17" spans="1:77" ht="13.8" thickBot="1" x14ac:dyDescent="0.3">
      <c r="A17" s="5" t="s">
        <v>31</v>
      </c>
      <c r="B17" s="26"/>
      <c r="C17" s="26"/>
      <c r="D17" s="36" t="e">
        <f>T31</f>
        <v>#NUM!</v>
      </c>
      <c r="E17" s="37" t="s">
        <v>20</v>
      </c>
      <c r="F17" s="38">
        <f>D67</f>
        <v>110.58150229170523</v>
      </c>
      <c r="G17" s="39" t="s">
        <v>32</v>
      </c>
      <c r="H17" s="39" t="s">
        <v>33</v>
      </c>
      <c r="I17" s="22"/>
      <c r="K17" s="69" t="s">
        <v>133</v>
      </c>
      <c r="L17" s="69" t="s">
        <v>534</v>
      </c>
      <c r="S17" s="69" t="s">
        <v>539</v>
      </c>
      <c r="T17" s="15">
        <f>+D6/D7</f>
        <v>12</v>
      </c>
    </row>
    <row r="18" spans="1:77" ht="13.8" thickBot="1" x14ac:dyDescent="0.3">
      <c r="A18" s="10" t="s">
        <v>34</v>
      </c>
      <c r="B18" s="13"/>
      <c r="C18" s="13"/>
      <c r="D18" s="13"/>
      <c r="E18" s="13"/>
      <c r="F18" s="40"/>
      <c r="G18" s="61" t="e">
        <f>D46/1000</f>
        <v>#NUM!</v>
      </c>
      <c r="H18" s="61">
        <f>D69/1000</f>
        <v>0</v>
      </c>
      <c r="I18" s="41" t="s">
        <v>35</v>
      </c>
      <c r="K18" s="61" t="e">
        <f>+G18</f>
        <v>#NUM!</v>
      </c>
      <c r="L18" s="15" t="e">
        <f>+K18/L38</f>
        <v>#NUM!</v>
      </c>
      <c r="S18" s="69" t="s">
        <v>540</v>
      </c>
      <c r="T18" s="15">
        <f>+D10/T16</f>
        <v>2.0245819323134224</v>
      </c>
    </row>
    <row r="19" spans="1:77" x14ac:dyDescent="0.25">
      <c r="A19" s="2" t="s">
        <v>12</v>
      </c>
      <c r="B19" s="42"/>
      <c r="S19" s="69" t="s">
        <v>542</v>
      </c>
      <c r="T19" s="15">
        <f>SIN(T18)</f>
        <v>0.89879404629916693</v>
      </c>
    </row>
    <row r="20" spans="1:77" x14ac:dyDescent="0.25">
      <c r="A20" s="2" t="s">
        <v>36</v>
      </c>
      <c r="H20" s="42"/>
      <c r="S20" s="69" t="s">
        <v>543</v>
      </c>
      <c r="T20" s="15">
        <f>COS(T18)</f>
        <v>-0.43837114678907751</v>
      </c>
    </row>
    <row r="21" spans="1:77" x14ac:dyDescent="0.25">
      <c r="A21" s="2" t="s">
        <v>37</v>
      </c>
      <c r="D21" s="27">
        <f>INDEX($Z$69:$DQ$310,$D$6+$D$7+1,$C$6+$C$7+1+1)</f>
        <v>13.003354839</v>
      </c>
      <c r="E21" s="16" t="s">
        <v>38</v>
      </c>
      <c r="F21" s="23">
        <f>INDEX($Z$69:$DQ$310,$D$6+1,$C$6+1+1)</f>
        <v>12</v>
      </c>
      <c r="G21" s="16" t="s">
        <v>39</v>
      </c>
      <c r="H21" s="27">
        <f>INDEX($Z$69:$DQ$310,$D$7+1,$C$7+1+1)</f>
        <v>1.0086649670000001</v>
      </c>
      <c r="S21" s="69" t="s">
        <v>541</v>
      </c>
      <c r="T21" s="15" t="e">
        <f>+T19*(T17*T20+(1-T17^2*T19^2)^0.5)</f>
        <v>#NUM!</v>
      </c>
    </row>
    <row r="22" spans="1:77" x14ac:dyDescent="0.25">
      <c r="A22" s="2" t="s">
        <v>40</v>
      </c>
      <c r="D22" s="27" t="str">
        <f>INDEX($Z$69:$DQ$310,($D$6+$D$7)+1,1)&amp;INDEX($Z$69:$DQ$310,1,($C$6+$C$7+1)+1)</f>
        <v>13C</v>
      </c>
      <c r="E22" s="16" t="s">
        <v>41</v>
      </c>
      <c r="F22" s="23">
        <f>INDEX($Z$69:$DQ$310,$D$8+1,$C$8+1+1)</f>
        <v>4.0026032499999999</v>
      </c>
      <c r="G22" s="16" t="s">
        <v>42</v>
      </c>
      <c r="H22" s="27">
        <f>INDEX($Z$69:$DQ$310,$D$32+1,$B$32+1+1)</f>
        <v>9.0121824999999998</v>
      </c>
      <c r="S22" s="69" t="s">
        <v>544</v>
      </c>
      <c r="T22" s="15" t="e">
        <f>ASIN(T21)*T16</f>
        <v>#NUM!</v>
      </c>
    </row>
    <row r="23" spans="1:77" x14ac:dyDescent="0.25">
      <c r="A23" s="2" t="s">
        <v>43</v>
      </c>
      <c r="D23" s="27">
        <f>D16+D9*(1-F21/D21)</f>
        <v>8.1505968605267665</v>
      </c>
      <c r="E23" s="23" t="s">
        <v>44</v>
      </c>
      <c r="F23" s="23" t="s">
        <v>45</v>
      </c>
      <c r="G23" s="42">
        <f>T47</f>
        <v>13.809230769230769</v>
      </c>
      <c r="H23" s="23" t="s">
        <v>20</v>
      </c>
      <c r="K23" s="16" t="s">
        <v>46</v>
      </c>
      <c r="M23" s="27">
        <v>-2.879793265790644</v>
      </c>
      <c r="T23" s="15" t="e">
        <f>180-T22</f>
        <v>#NUM!</v>
      </c>
    </row>
    <row r="24" spans="1:77" x14ac:dyDescent="0.25">
      <c r="A24" s="2" t="s">
        <v>47</v>
      </c>
      <c r="D24" s="42">
        <f>-1*((F21+H21)/H21)*D16</f>
        <v>73.530295084281249</v>
      </c>
      <c r="E24" s="23" t="s">
        <v>20</v>
      </c>
      <c r="F24" s="23" t="s">
        <v>48</v>
      </c>
      <c r="G24" s="42">
        <f>(($C$7*$C$6*10000000000000*$T$59)/(1.4*($D$7^(1/3)+$D$6^(1/3))))*(1+$D$6/$D$7)</f>
        <v>0</v>
      </c>
      <c r="H24" s="23" t="s">
        <v>20</v>
      </c>
      <c r="Z24" s="16"/>
      <c r="AJ24" s="16" t="s">
        <v>50</v>
      </c>
    </row>
    <row r="25" spans="1:77" x14ac:dyDescent="0.25">
      <c r="A25" s="2" t="str">
        <f>+$AC$62&amp;"+"&amp;+$AC$61&amp;" E level on the "&amp;$D$22&amp;" NDS="</f>
        <v>1n+12C E level on the 13C NDS=</v>
      </c>
      <c r="E25" s="43">
        <f>((F21-$D$6)+(H21-$D$7)-($D$21-ROUND($D$21,0)))*931.48</f>
        <v>4.9462780294400748</v>
      </c>
    </row>
    <row r="27" spans="1:77" x14ac:dyDescent="0.25">
      <c r="A27" s="11" t="s">
        <v>51</v>
      </c>
      <c r="B27" s="26"/>
      <c r="C27" s="26"/>
      <c r="D27" s="44" t="e">
        <f>$T$31</f>
        <v>#NUM!</v>
      </c>
      <c r="E27" s="45" t="s">
        <v>20</v>
      </c>
      <c r="S27" s="15" t="s">
        <v>52</v>
      </c>
      <c r="T27" s="15">
        <f>(H7/$D$6)</f>
        <v>6</v>
      </c>
      <c r="U27" s="15" t="s">
        <v>53</v>
      </c>
      <c r="V27" s="42">
        <f>(($W$71+($T$27^2-$W$73)^0.5)/(1+$T$27))^2</f>
        <v>0.61598483456398256</v>
      </c>
    </row>
    <row r="28" spans="1:77" x14ac:dyDescent="0.25">
      <c r="U28" s="16" t="s">
        <v>58</v>
      </c>
      <c r="W28" s="69" t="s">
        <v>554</v>
      </c>
      <c r="X28" s="122">
        <f>+ETA</f>
        <v>180</v>
      </c>
      <c r="Y28" s="69" t="s">
        <v>527</v>
      </c>
    </row>
    <row r="29" spans="1:77" x14ac:dyDescent="0.25">
      <c r="S29" s="16" t="s">
        <v>61</v>
      </c>
      <c r="T29" s="27">
        <f>$D$7/$D$6</f>
        <v>8.3333333333333329E-2</v>
      </c>
      <c r="U29" s="16" t="s">
        <v>62</v>
      </c>
      <c r="V29" s="27">
        <f>$D$10</f>
        <v>116</v>
      </c>
      <c r="W29" s="121" t="s">
        <v>555</v>
      </c>
      <c r="X29" s="123" t="e">
        <f>180-ASIN((T33/(T30*T58))^0.5*SIN(D36/T16))*T16</f>
        <v>#NUM!</v>
      </c>
      <c r="Y29" s="15" t="e">
        <f>180-X29</f>
        <v>#NUM!</v>
      </c>
    </row>
    <row r="30" spans="1:77" x14ac:dyDescent="0.25">
      <c r="A30" s="2" t="s">
        <v>54</v>
      </c>
      <c r="S30" s="16" t="s">
        <v>67</v>
      </c>
      <c r="T30" s="52">
        <f>$D$9+$D$16</f>
        <v>173.81861305115993</v>
      </c>
      <c r="U30" s="16" t="s">
        <v>68</v>
      </c>
      <c r="V30" s="27">
        <f>($D$10/(180/PI()))</f>
        <v>2.0245819323134224</v>
      </c>
      <c r="X30" s="27" t="e">
        <f>((T31/T30)/T58)^0.5</f>
        <v>#NUM!</v>
      </c>
    </row>
    <row r="31" spans="1:77" x14ac:dyDescent="0.25">
      <c r="D31" s="16" t="s">
        <v>55</v>
      </c>
      <c r="F31" s="23" t="s">
        <v>56</v>
      </c>
      <c r="Q31" s="72" t="s">
        <v>517</v>
      </c>
      <c r="R31" s="15">
        <f>IF(T56&lt;T58,1,0)</f>
        <v>0</v>
      </c>
      <c r="S31" s="16" t="s">
        <v>70</v>
      </c>
      <c r="T31" s="27" t="e">
        <f>$T$30*$T$56*($V$31+($T$58/$T$56-$V$35^2)^0.5)^2</f>
        <v>#NUM!</v>
      </c>
      <c r="U31" s="16" t="s">
        <v>71</v>
      </c>
      <c r="V31" s="27">
        <f>COS($V$30)</f>
        <v>-0.43837114678907751</v>
      </c>
    </row>
    <row r="32" spans="1:77" x14ac:dyDescent="0.25">
      <c r="A32" s="2" t="s">
        <v>57</v>
      </c>
      <c r="B32" s="27">
        <f>$C$7+$T$42</f>
        <v>4</v>
      </c>
      <c r="C32" s="16" t="s">
        <v>42</v>
      </c>
      <c r="D32" s="27">
        <f>$D$7+$T$43</f>
        <v>9</v>
      </c>
      <c r="I32" s="46"/>
      <c r="O32" s="47"/>
      <c r="Q32" s="69" t="s">
        <v>518</v>
      </c>
      <c r="R32" s="69">
        <f>IF(R31=1,0,1)</f>
        <v>1</v>
      </c>
      <c r="U32" s="81" t="s">
        <v>87</v>
      </c>
      <c r="V32" s="83" t="e">
        <f>((F22*T31/(H22*T35))^0.5*SIN(D43/T16))*T16</f>
        <v>#NUM!</v>
      </c>
      <c r="AA32" s="23"/>
      <c r="AB32" s="16"/>
      <c r="AD32" s="16"/>
      <c r="AE32" s="23"/>
      <c r="AJ32" s="23"/>
      <c r="AK32" s="16"/>
      <c r="BW32" s="43"/>
      <c r="BX32" s="43"/>
      <c r="BY32" s="43"/>
    </row>
    <row r="33" spans="1:134" x14ac:dyDescent="0.25">
      <c r="A33" s="2" t="s">
        <v>59</v>
      </c>
      <c r="C33" s="27" t="str">
        <f>$AC$65</f>
        <v>9Be</v>
      </c>
      <c r="I33" s="48"/>
      <c r="J33" s="85" t="s">
        <v>550</v>
      </c>
      <c r="K33" s="86"/>
      <c r="L33" s="86"/>
      <c r="M33" s="86"/>
      <c r="N33" s="87"/>
      <c r="Q33" s="69" t="s">
        <v>522</v>
      </c>
      <c r="R33" s="69">
        <f>IF(D10&lt;ASIN((T58/T56)^0.5),1,0)</f>
        <v>0</v>
      </c>
      <c r="T33" s="15" t="e">
        <f>T31</f>
        <v>#NUM!</v>
      </c>
      <c r="U33" s="82"/>
      <c r="AB33" s="16"/>
      <c r="BW33" s="43"/>
    </row>
    <row r="34" spans="1:134" x14ac:dyDescent="0.25">
      <c r="A34" s="2" t="s">
        <v>60</v>
      </c>
      <c r="D34" s="42" t="e">
        <f>($T$30-$T$31)</f>
        <v>#NUM!</v>
      </c>
      <c r="E34" s="23" t="s">
        <v>20</v>
      </c>
      <c r="F34" s="49">
        <f>$T$30*$T$57</f>
        <v>2.4947211755048304</v>
      </c>
      <c r="G34" s="23" t="s">
        <v>20</v>
      </c>
      <c r="J34" s="86"/>
      <c r="K34" s="86"/>
      <c r="L34" s="86"/>
      <c r="M34" s="86"/>
      <c r="N34" s="88"/>
      <c r="U34" s="82"/>
      <c r="AB34" s="16"/>
      <c r="BW34" s="43"/>
      <c r="BX34" s="43"/>
      <c r="BY34" s="43"/>
    </row>
    <row r="35" spans="1:134" x14ac:dyDescent="0.25">
      <c r="A35" s="2" t="s">
        <v>64</v>
      </c>
      <c r="D35" s="90" t="e">
        <f>+V32</f>
        <v>#NUM!</v>
      </c>
      <c r="E35" s="23" t="s">
        <v>65</v>
      </c>
      <c r="F35" s="51" t="e">
        <f>180-$X$29</f>
        <v>#NUM!</v>
      </c>
      <c r="G35" s="23" t="s">
        <v>66</v>
      </c>
      <c r="J35" s="85" t="s">
        <v>529</v>
      </c>
      <c r="K35" s="86"/>
      <c r="L35" s="86"/>
      <c r="M35" s="86"/>
      <c r="N35" s="88"/>
      <c r="Q35" s="69" t="s">
        <v>519</v>
      </c>
      <c r="R35" s="15">
        <f>IF(T55&lt;T57,1,0)</f>
        <v>0</v>
      </c>
      <c r="S35" s="16" t="s">
        <v>73</v>
      </c>
      <c r="T35" s="27" t="e">
        <f>T30-T31</f>
        <v>#NUM!</v>
      </c>
      <c r="U35" s="16" t="s">
        <v>74</v>
      </c>
      <c r="V35" s="27">
        <f>SIN($V$30)</f>
        <v>0.89879404629916693</v>
      </c>
      <c r="AB35" s="23"/>
      <c r="AJ35" s="16"/>
      <c r="AK35" s="16"/>
      <c r="AL35" s="16"/>
      <c r="AM35" s="16"/>
      <c r="AN35" s="16"/>
      <c r="BW35" s="43"/>
    </row>
    <row r="36" spans="1:134" x14ac:dyDescent="0.25">
      <c r="A36" s="2" t="s">
        <v>69</v>
      </c>
      <c r="D36" s="27">
        <f>D10</f>
        <v>116</v>
      </c>
      <c r="E36" s="23" t="s">
        <v>65</v>
      </c>
      <c r="F36" s="51" t="e">
        <f>$X$29</f>
        <v>#NUM!</v>
      </c>
      <c r="G36" s="23" t="s">
        <v>66</v>
      </c>
      <c r="J36" s="85" t="s">
        <v>530</v>
      </c>
      <c r="K36" s="86"/>
      <c r="L36" s="86"/>
      <c r="M36" s="86"/>
      <c r="N36" s="88"/>
      <c r="Q36" s="69" t="s">
        <v>520</v>
      </c>
      <c r="R36" s="15">
        <f>IF(R35=1,0,1)</f>
        <v>1</v>
      </c>
      <c r="S36" s="84" t="s">
        <v>524</v>
      </c>
      <c r="T36" s="15" t="e">
        <f>$T$30*$T$55*(COS($V$32/$T$16)+($T$57/$T$55-SIN($V$32/$T$16)^2)^0.5)^2</f>
        <v>#NUM!</v>
      </c>
      <c r="U36" s="82"/>
      <c r="AK36" s="16"/>
      <c r="AL36" s="16"/>
      <c r="AM36" s="16"/>
      <c r="AN36" s="16"/>
      <c r="BX36" s="43"/>
    </row>
    <row r="37" spans="1:134" x14ac:dyDescent="0.25">
      <c r="A37" s="2" t="s">
        <v>72</v>
      </c>
      <c r="D37" s="42" t="e">
        <f>IF(ISERR($T$35)=1,"N.Det.",$T$35)</f>
        <v>#NUM!</v>
      </c>
      <c r="E37" s="27" t="str">
        <f>IF(ISERR($T$35)=1,"","MeV")</f>
        <v>MeV</v>
      </c>
      <c r="F37" s="49"/>
      <c r="G37" s="23" t="s">
        <v>20</v>
      </c>
      <c r="H37" s="50"/>
      <c r="J37" s="120" t="s">
        <v>552</v>
      </c>
      <c r="K37" s="119"/>
      <c r="L37" s="119"/>
      <c r="M37" s="119"/>
      <c r="N37" s="88"/>
      <c r="O37" s="43"/>
      <c r="Q37" s="69" t="s">
        <v>521</v>
      </c>
      <c r="S37" s="84" t="s">
        <v>525</v>
      </c>
      <c r="T37" s="15" t="e">
        <f>$T$30*$T$55*(COS($V$32/$T$16)-($T$57/$T$55-SIN($V$32/$T$16)^2)^0.5)^2</f>
        <v>#NUM!</v>
      </c>
      <c r="AK37" s="16"/>
      <c r="AL37" s="16"/>
      <c r="AM37" s="16"/>
      <c r="AN37" s="16"/>
      <c r="BX37" s="43"/>
    </row>
    <row r="38" spans="1:134" x14ac:dyDescent="0.25">
      <c r="J38" s="85" t="s">
        <v>531</v>
      </c>
      <c r="K38" s="86"/>
      <c r="L38" s="86" t="e">
        <f>(T31/T30)/(T55*T57*(T58/T56-SIN(D36/T16)^2))^0.5</f>
        <v>#NUM!</v>
      </c>
      <c r="M38" s="86"/>
      <c r="N38" s="92" t="s">
        <v>537</v>
      </c>
      <c r="S38" s="82"/>
      <c r="AA38" s="16"/>
      <c r="AB38" s="16"/>
      <c r="AK38" s="16"/>
      <c r="AL38" s="16"/>
      <c r="AM38" s="16"/>
      <c r="BT38" s="43"/>
      <c r="BU38" s="43"/>
      <c r="BV38" s="43"/>
      <c r="BX38" s="43"/>
    </row>
    <row r="39" spans="1:134" x14ac:dyDescent="0.25">
      <c r="A39" s="2" t="s">
        <v>77</v>
      </c>
      <c r="D39" s="23" t="s">
        <v>55</v>
      </c>
      <c r="F39" s="23" t="s">
        <v>56</v>
      </c>
      <c r="J39" s="85" t="s">
        <v>536</v>
      </c>
      <c r="K39" s="86"/>
      <c r="L39" s="86" t="e">
        <f>1/(D6*D7*((D7/D6)^2-SIN(D10/T16)^2)^0.5/((D6+D7)^2*(D17/D9)))</f>
        <v>#NUM!</v>
      </c>
      <c r="M39" s="85" t="s">
        <v>133</v>
      </c>
      <c r="N39" s="86">
        <f>(1-D6/D7)^2</f>
        <v>121</v>
      </c>
      <c r="AB39" s="16"/>
      <c r="AK39" s="16"/>
      <c r="AL39" s="16"/>
      <c r="AM39" s="16"/>
    </row>
    <row r="40" spans="1:134" x14ac:dyDescent="0.25">
      <c r="A40" s="2" t="s">
        <v>78</v>
      </c>
      <c r="D40" s="27" t="str">
        <f>$AC$61</f>
        <v>12C</v>
      </c>
      <c r="J40" s="86"/>
      <c r="K40" s="85" t="s">
        <v>532</v>
      </c>
      <c r="L40" s="85" t="s">
        <v>533</v>
      </c>
      <c r="M40" s="85" t="s">
        <v>89</v>
      </c>
      <c r="N40" s="85" t="s">
        <v>534</v>
      </c>
      <c r="S40" s="16" t="s">
        <v>75</v>
      </c>
      <c r="T40" s="42">
        <f>D16</f>
        <v>-5.701386948840069</v>
      </c>
      <c r="U40" s="16" t="s">
        <v>76</v>
      </c>
      <c r="V40" s="27">
        <f>($V$35^2)</f>
        <v>0.80783073766282898</v>
      </c>
      <c r="AB40" s="23"/>
      <c r="AK40" s="16"/>
      <c r="AL40" s="16"/>
      <c r="AM40" s="16"/>
    </row>
    <row r="41" spans="1:134" x14ac:dyDescent="0.25">
      <c r="A41" s="2" t="s">
        <v>79</v>
      </c>
      <c r="D41" s="27" t="str">
        <f>$AC$62</f>
        <v>1n</v>
      </c>
      <c r="J41" s="86"/>
      <c r="K41" s="86"/>
      <c r="L41" s="86" t="e">
        <f>+L38</f>
        <v>#NUM!</v>
      </c>
      <c r="M41" s="86" t="e">
        <f>+G18</f>
        <v>#NUM!</v>
      </c>
      <c r="N41" s="85" t="s">
        <v>89</v>
      </c>
      <c r="AB41" s="16"/>
    </row>
    <row r="42" spans="1:134" x14ac:dyDescent="0.25">
      <c r="A42" s="2" t="s">
        <v>19</v>
      </c>
      <c r="D42" s="42">
        <f>$D$9</f>
        <v>179.52</v>
      </c>
      <c r="E42" s="23" t="s">
        <v>20</v>
      </c>
      <c r="F42" s="49">
        <f>(D42/(1+$D$6/$D$7))</f>
        <v>13.809230769230769</v>
      </c>
      <c r="G42" s="23" t="s">
        <v>20</v>
      </c>
      <c r="J42" s="86"/>
      <c r="K42" s="119">
        <v>0.1</v>
      </c>
      <c r="L42" s="86" t="e">
        <f t="dataTable" ref="L42:M71" dt2D="0" dtr="0" r1="D9"/>
        <v>#NUM!</v>
      </c>
      <c r="M42" s="119" t="e">
        <v>#NUM!</v>
      </c>
      <c r="N42" s="88" t="e">
        <f>+M42/L42</f>
        <v>#NUM!</v>
      </c>
      <c r="S42" s="16" t="s">
        <v>80</v>
      </c>
      <c r="T42" s="27">
        <f>$C$6-$C$8</f>
        <v>4</v>
      </c>
      <c r="U42" s="52"/>
      <c r="BT42" s="43"/>
      <c r="BU42" s="43"/>
      <c r="BV42" s="43"/>
      <c r="BX42" s="43"/>
      <c r="BY42" s="43"/>
    </row>
    <row r="43" spans="1:134" x14ac:dyDescent="0.25">
      <c r="A43" s="2" t="s">
        <v>81</v>
      </c>
      <c r="D43" s="50">
        <f>D10</f>
        <v>116</v>
      </c>
      <c r="E43" s="23" t="s">
        <v>23</v>
      </c>
      <c r="F43" s="51" t="e">
        <f>$X$69</f>
        <v>#NUM!</v>
      </c>
      <c r="G43" s="23" t="s">
        <v>66</v>
      </c>
      <c r="J43" s="86"/>
      <c r="K43" s="119">
        <v>0.2</v>
      </c>
      <c r="L43" s="86" t="e">
        <v>#NUM!</v>
      </c>
      <c r="M43" s="119" t="e">
        <v>#NUM!</v>
      </c>
      <c r="N43" s="88" t="e">
        <f t="shared" ref="N43:N71" si="0">+M43/L43</f>
        <v>#NUM!</v>
      </c>
      <c r="S43" s="16" t="s">
        <v>82</v>
      </c>
      <c r="T43" s="27">
        <f>$D$6-$D$8</f>
        <v>8</v>
      </c>
      <c r="U43" s="52"/>
      <c r="DU43" s="42"/>
      <c r="DV43" s="42"/>
      <c r="DX43" s="42"/>
      <c r="DY43" s="42"/>
      <c r="DZ43" s="42"/>
      <c r="EB43" s="42"/>
      <c r="EC43" s="42"/>
      <c r="ED43" s="42"/>
    </row>
    <row r="44" spans="1:134" x14ac:dyDescent="0.25">
      <c r="A44" s="2" t="s">
        <v>83</v>
      </c>
      <c r="D44" s="50">
        <v>-3.9221602634071728</v>
      </c>
      <c r="E44" s="16" t="s">
        <v>23</v>
      </c>
      <c r="F44" s="51">
        <f>2*D44</f>
        <v>-7.8443205268143457</v>
      </c>
      <c r="G44" s="23" t="s">
        <v>66</v>
      </c>
      <c r="J44" s="86"/>
      <c r="K44" s="119">
        <v>0.3</v>
      </c>
      <c r="L44" s="86" t="e">
        <v>#NUM!</v>
      </c>
      <c r="M44" s="119" t="e">
        <v>#NUM!</v>
      </c>
      <c r="N44" s="88" t="e">
        <f t="shared" si="0"/>
        <v>#NUM!</v>
      </c>
      <c r="O44" s="43"/>
      <c r="U44" s="16" t="s">
        <v>84</v>
      </c>
      <c r="BA44" s="53"/>
      <c r="DU44" s="42"/>
      <c r="DV44" s="42"/>
      <c r="DX44" s="42"/>
      <c r="DY44" s="42"/>
      <c r="DZ44" s="42"/>
      <c r="EA44" s="42"/>
      <c r="EB44" s="42"/>
      <c r="EC44" s="42"/>
      <c r="ED44" s="42"/>
    </row>
    <row r="45" spans="1:134" x14ac:dyDescent="0.25">
      <c r="A45" s="2" t="s">
        <v>85</v>
      </c>
      <c r="D45" s="42" t="e">
        <f>$T$69</f>
        <v>#NUM!</v>
      </c>
      <c r="J45" s="86"/>
      <c r="K45" s="119">
        <v>0.4</v>
      </c>
      <c r="L45" s="86" t="e">
        <v>#NUM!</v>
      </c>
      <c r="M45" s="119" t="e">
        <v>#NUM!</v>
      </c>
      <c r="N45" s="88" t="e">
        <f t="shared" si="0"/>
        <v>#NUM!</v>
      </c>
      <c r="S45" s="16" t="s">
        <v>86</v>
      </c>
      <c r="T45" s="52"/>
      <c r="U45" s="16" t="s">
        <v>87</v>
      </c>
      <c r="V45" s="95" t="e">
        <f>$D$35</f>
        <v>#NUM!</v>
      </c>
      <c r="W45" s="16" t="s">
        <v>63</v>
      </c>
      <c r="X45" s="50" t="e">
        <f>180-X29</f>
        <v>#NUM!</v>
      </c>
      <c r="BA45" s="53"/>
      <c r="DU45" s="42"/>
      <c r="DV45" s="42"/>
      <c r="DW45" s="42"/>
      <c r="DX45" s="42"/>
      <c r="DY45" s="42"/>
      <c r="DZ45" s="42"/>
      <c r="EA45" s="42"/>
      <c r="EB45" s="42"/>
      <c r="EC45" s="42"/>
      <c r="ED45" s="42"/>
    </row>
    <row r="46" spans="1:134" x14ac:dyDescent="0.25">
      <c r="A46" s="2" t="s">
        <v>88</v>
      </c>
      <c r="D46" s="54" t="e">
        <f>$T$61*1000</f>
        <v>#NUM!</v>
      </c>
      <c r="E46" s="23" t="s">
        <v>89</v>
      </c>
      <c r="F46" s="51" t="e">
        <f>$T$62*1000</f>
        <v>#NUM!</v>
      </c>
      <c r="G46" s="23" t="s">
        <v>89</v>
      </c>
      <c r="J46" s="86"/>
      <c r="K46" s="119">
        <v>0.5</v>
      </c>
      <c r="L46" s="86" t="e">
        <v>#NUM!</v>
      </c>
      <c r="M46" s="119" t="e">
        <v>#NUM!</v>
      </c>
      <c r="N46" s="88" t="e">
        <f>+M46/L46</f>
        <v>#NUM!</v>
      </c>
      <c r="S46" s="16" t="s">
        <v>90</v>
      </c>
      <c r="T46" s="55">
        <f>(INDEX($Z$69:$DQ$310,$D$6+1,$C$6+1)+INDEX($Z$69:$DQ$310,$D$7+1,$C$7+1)-INDEX($Z$69:$DQ$310,($D$6+$D$7)+1,($C$6+$C$7)+1))*931.48+$T$47</f>
        <v>12136.418390617233</v>
      </c>
      <c r="U46" s="56" t="s">
        <v>91</v>
      </c>
      <c r="V46" s="96" t="e">
        <f>+V45/T16</f>
        <v>#NUM!</v>
      </c>
      <c r="AA46" s="16"/>
      <c r="AB46" s="16"/>
      <c r="AK46" s="16"/>
      <c r="AL46" s="16"/>
      <c r="DU46" s="42"/>
      <c r="DV46" s="42"/>
      <c r="DX46" s="42"/>
      <c r="DY46" s="42"/>
      <c r="EA46" s="42"/>
      <c r="EB46" s="42"/>
      <c r="EC46" s="42"/>
      <c r="ED46" s="42"/>
    </row>
    <row r="47" spans="1:134" x14ac:dyDescent="0.25">
      <c r="A47" s="2" t="s">
        <v>92</v>
      </c>
      <c r="D47" s="42" t="e">
        <f>$T$70</f>
        <v>#NUM!</v>
      </c>
      <c r="E47" s="23" t="s">
        <v>20</v>
      </c>
      <c r="F47" s="49">
        <f>$D$7*$D$7*D42/($D$6+$D$7)^2</f>
        <v>1.0622485207100592</v>
      </c>
      <c r="G47" s="23" t="s">
        <v>20</v>
      </c>
      <c r="J47" s="86"/>
      <c r="K47" s="119">
        <v>0.6</v>
      </c>
      <c r="L47" s="86" t="e">
        <v>#NUM!</v>
      </c>
      <c r="M47" s="119" t="e">
        <v>#NUM!</v>
      </c>
      <c r="N47" s="88" t="e">
        <f t="shared" si="0"/>
        <v>#NUM!</v>
      </c>
      <c r="S47" s="16" t="s">
        <v>93</v>
      </c>
      <c r="T47" s="50">
        <f>$D$9/(1+$D$6/$D$7)</f>
        <v>13.809230769230769</v>
      </c>
      <c r="U47" s="16" t="s">
        <v>94</v>
      </c>
      <c r="V47" s="27" t="e">
        <f>COS($V$46)</f>
        <v>#NUM!</v>
      </c>
      <c r="AB47" s="23"/>
      <c r="AL47" s="16"/>
      <c r="DU47" s="42"/>
      <c r="DV47" s="42"/>
      <c r="DX47" s="42"/>
      <c r="DY47" s="42"/>
      <c r="DZ47" s="42"/>
      <c r="EA47" s="42"/>
      <c r="EB47" s="42"/>
      <c r="EC47" s="42"/>
      <c r="ED47" s="42"/>
    </row>
    <row r="48" spans="1:134" x14ac:dyDescent="0.25">
      <c r="A48" s="2" t="s">
        <v>95</v>
      </c>
      <c r="D48" s="42">
        <v>0.95550843012684705</v>
      </c>
      <c r="E48" s="23" t="s">
        <v>20</v>
      </c>
      <c r="F48" s="49">
        <f>$D$6*$D$7*D42/($D$6+$D$7)^2</f>
        <v>12.746982248520711</v>
      </c>
      <c r="G48" s="23" t="s">
        <v>20</v>
      </c>
      <c r="H48" s="43"/>
      <c r="J48" s="86"/>
      <c r="K48" s="119">
        <v>0.7</v>
      </c>
      <c r="L48" s="86" t="e">
        <v>#NUM!</v>
      </c>
      <c r="M48" s="119" t="e">
        <v>#NUM!</v>
      </c>
      <c r="N48" s="88" t="e">
        <f t="shared" si="0"/>
        <v>#NUM!</v>
      </c>
      <c r="T48" s="50"/>
      <c r="U48" s="56" t="s">
        <v>96</v>
      </c>
      <c r="V48" s="52" t="e">
        <f>SIN($V$46)</f>
        <v>#NUM!</v>
      </c>
      <c r="AB48" s="16"/>
      <c r="AL48" s="23"/>
      <c r="DU48" s="42"/>
      <c r="DV48" s="42"/>
      <c r="DW48" s="42"/>
      <c r="DX48" s="42"/>
      <c r="DY48" s="42"/>
      <c r="DZ48" s="42"/>
      <c r="EA48" s="42"/>
      <c r="EB48" s="42"/>
      <c r="EC48" s="42"/>
      <c r="ED48" s="42"/>
    </row>
    <row r="49" spans="1:134" x14ac:dyDescent="0.25">
      <c r="J49" s="86"/>
      <c r="K49" s="119">
        <v>0.8</v>
      </c>
      <c r="L49" s="86" t="e">
        <v>#NUM!</v>
      </c>
      <c r="M49" s="119" t="e">
        <v>#NUM!</v>
      </c>
      <c r="N49" s="88" t="e">
        <f t="shared" si="0"/>
        <v>#NUM!</v>
      </c>
      <c r="R49" s="54"/>
      <c r="T49" s="50"/>
      <c r="U49" s="56" t="s">
        <v>97</v>
      </c>
      <c r="V49" s="52" t="e">
        <f>SIN($V$46)^2</f>
        <v>#NUM!</v>
      </c>
      <c r="AL49" s="16"/>
    </row>
    <row r="50" spans="1:134" x14ac:dyDescent="0.25">
      <c r="J50" s="86"/>
      <c r="K50" s="119">
        <v>0.9</v>
      </c>
      <c r="L50" s="86" t="e">
        <v>#NUM!</v>
      </c>
      <c r="M50" s="119" t="e">
        <v>#NUM!</v>
      </c>
      <c r="N50" s="88" t="e">
        <f t="shared" si="0"/>
        <v>#NUM!</v>
      </c>
      <c r="T50" s="52"/>
      <c r="DU50" s="42"/>
      <c r="DV50" s="42"/>
      <c r="DW50" s="42"/>
      <c r="DX50" s="42"/>
      <c r="DY50" s="42"/>
      <c r="DZ50" s="42"/>
      <c r="EA50" s="42"/>
      <c r="EB50" s="42"/>
      <c r="EC50" s="42"/>
      <c r="ED50" s="42"/>
    </row>
    <row r="51" spans="1:134" x14ac:dyDescent="0.25">
      <c r="A51" s="2" t="s">
        <v>98</v>
      </c>
      <c r="I51" s="42"/>
      <c r="J51" s="86"/>
      <c r="K51" s="119">
        <v>1</v>
      </c>
      <c r="L51" s="86" t="e">
        <v>#NUM!</v>
      </c>
      <c r="M51" s="119" t="e">
        <v>#NUM!</v>
      </c>
      <c r="N51" s="88" t="e">
        <f t="shared" si="0"/>
        <v>#NUM!</v>
      </c>
      <c r="T51" s="42"/>
      <c r="AK51" s="16"/>
      <c r="AL51" s="16"/>
      <c r="DU51" s="42"/>
      <c r="DV51" s="42"/>
      <c r="DW51" s="42"/>
      <c r="DX51" s="42"/>
      <c r="DY51" s="42"/>
      <c r="DZ51" s="42"/>
      <c r="EA51" s="42"/>
      <c r="EB51" s="42"/>
      <c r="EC51" s="42"/>
      <c r="ED51" s="42"/>
    </row>
    <row r="52" spans="1:134" x14ac:dyDescent="0.25">
      <c r="C52" s="16" t="s">
        <v>99</v>
      </c>
      <c r="D52" s="27">
        <v>2</v>
      </c>
      <c r="E52" s="16" t="s">
        <v>100</v>
      </c>
      <c r="J52" s="86"/>
      <c r="K52" s="119">
        <v>1.1000000000000001</v>
      </c>
      <c r="L52" s="86" t="e">
        <v>#NUM!</v>
      </c>
      <c r="M52" s="119" t="e">
        <v>#NUM!</v>
      </c>
      <c r="N52" s="88" t="e">
        <f t="shared" si="0"/>
        <v>#NUM!</v>
      </c>
      <c r="AL52" s="23"/>
    </row>
    <row r="53" spans="1:134" x14ac:dyDescent="0.25">
      <c r="A53" s="2" t="s">
        <v>101</v>
      </c>
      <c r="C53" s="27">
        <f>C6</f>
        <v>6</v>
      </c>
      <c r="D53" s="27">
        <f>D6</f>
        <v>12</v>
      </c>
      <c r="E53" s="27" t="str">
        <f>INDEX($Z$69:$DQ$310,$D$53+1,1)&amp;INDEX($Z$69:$DQ$310,1,$C$53+1+1)</f>
        <v>12C</v>
      </c>
      <c r="J53" s="86"/>
      <c r="K53" s="119">
        <v>1.2</v>
      </c>
      <c r="L53" s="86" t="e">
        <v>#NUM!</v>
      </c>
      <c r="M53" s="119" t="e">
        <v>#NUM!</v>
      </c>
      <c r="N53" s="88" t="e">
        <f t="shared" si="0"/>
        <v>#NUM!</v>
      </c>
      <c r="T53" s="57" t="s">
        <v>102</v>
      </c>
      <c r="AL53" s="16"/>
    </row>
    <row r="54" spans="1:134" x14ac:dyDescent="0.25">
      <c r="A54" s="2" t="s">
        <v>103</v>
      </c>
      <c r="C54" s="27">
        <f>C7</f>
        <v>0</v>
      </c>
      <c r="D54" s="27">
        <f>D7</f>
        <v>1</v>
      </c>
      <c r="E54" s="27" t="str">
        <f>INDEX($Z$69:$DQ$310,$D$54+1,1)&amp;INDEX($Z$69:$DQ$310,1,$C$54+1+1)</f>
        <v>1n</v>
      </c>
      <c r="J54" s="86"/>
      <c r="K54" s="119">
        <v>1.3</v>
      </c>
      <c r="L54" s="86" t="e">
        <v>#NUM!</v>
      </c>
      <c r="M54" s="119" t="e">
        <v>#NUM!</v>
      </c>
      <c r="N54" s="88" t="e">
        <f t="shared" si="0"/>
        <v>#NUM!</v>
      </c>
      <c r="T54" s="16" t="s">
        <v>104</v>
      </c>
      <c r="BX54" s="43"/>
      <c r="BY54" s="43"/>
      <c r="EA54" s="42"/>
    </row>
    <row r="55" spans="1:134" x14ac:dyDescent="0.25">
      <c r="A55" s="73" t="s">
        <v>105</v>
      </c>
      <c r="B55" s="74"/>
      <c r="C55" s="75">
        <f>H6</f>
        <v>32</v>
      </c>
      <c r="D55" s="75">
        <f>H7</f>
        <v>72</v>
      </c>
      <c r="E55" s="75" t="str">
        <f>INDEX($Z$69:$DQ$310,$D$55+1,1)&amp;INDEX($Z$69:$DQ$310,1,$C$55+1+1)</f>
        <v>72Ge</v>
      </c>
      <c r="F55" s="76"/>
      <c r="G55" s="74"/>
      <c r="H55" s="74"/>
      <c r="I55" s="74"/>
      <c r="J55" s="86"/>
      <c r="K55" s="119">
        <v>1.4</v>
      </c>
      <c r="L55" s="86" t="e">
        <v>#NUM!</v>
      </c>
      <c r="M55" s="119" t="e">
        <v>#NUM!</v>
      </c>
      <c r="N55" s="88" t="e">
        <f t="shared" si="0"/>
        <v>#NUM!</v>
      </c>
      <c r="O55" s="74"/>
      <c r="P55" s="74"/>
      <c r="Q55" s="74"/>
      <c r="R55" s="74">
        <f>D6*D7/(D6+D7)^2</f>
        <v>7.1005917159763315E-2</v>
      </c>
      <c r="S55" s="77" t="s">
        <v>106</v>
      </c>
      <c r="T55" s="75">
        <f>($D$6*$D$32*($D$9/$T$30))/(($D$6+$D$7)*($D$8+$D$32))</f>
        <v>0.66001470281505514</v>
      </c>
      <c r="U55" s="27">
        <f>(T55*T57)</f>
        <v>9.4728212724411558E-3</v>
      </c>
      <c r="V55" s="23" t="s">
        <v>107</v>
      </c>
      <c r="BX55" s="43"/>
      <c r="BY55" s="43"/>
      <c r="DU55" s="42"/>
      <c r="DV55" s="42"/>
      <c r="DW55" s="42"/>
      <c r="DX55" s="42"/>
      <c r="DY55" s="42"/>
      <c r="EB55" s="42"/>
      <c r="EC55" s="42"/>
      <c r="ED55" s="42"/>
    </row>
    <row r="56" spans="1:134" x14ac:dyDescent="0.25">
      <c r="A56" s="73" t="s">
        <v>83</v>
      </c>
      <c r="B56" s="74"/>
      <c r="C56" s="74"/>
      <c r="D56" s="78">
        <f>D10</f>
        <v>116</v>
      </c>
      <c r="E56" s="77" t="s">
        <v>23</v>
      </c>
      <c r="F56" s="76"/>
      <c r="G56" s="74"/>
      <c r="H56" s="74"/>
      <c r="I56" s="74"/>
      <c r="J56" s="86"/>
      <c r="K56" s="119">
        <v>1.5</v>
      </c>
      <c r="L56" s="86" t="e">
        <v>#NUM!</v>
      </c>
      <c r="M56" s="119" t="e">
        <v>#NUM!</v>
      </c>
      <c r="N56" s="88" t="e">
        <f t="shared" si="0"/>
        <v>#NUM!</v>
      </c>
      <c r="O56" s="74"/>
      <c r="P56" s="74"/>
      <c r="Q56" s="74"/>
      <c r="R56" s="74">
        <f>+D6^2/(D6+D7)^2</f>
        <v>0.85207100591715978</v>
      </c>
      <c r="S56" s="77" t="s">
        <v>108</v>
      </c>
      <c r="T56" s="75">
        <f>($D$6*$D$8*($D$9/$T$30))/(($D$6+$D$7)*($D$8+$D$32))</f>
        <v>0.29333986791780231</v>
      </c>
      <c r="U56" s="27">
        <f>(T56*T58)</f>
        <v>9.4728212724411575E-3</v>
      </c>
      <c r="V56" s="23" t="s">
        <v>109</v>
      </c>
      <c r="AL56" s="16"/>
      <c r="AM56" s="23"/>
      <c r="BX56" s="43"/>
      <c r="BY56" s="43"/>
    </row>
    <row r="57" spans="1:134" x14ac:dyDescent="0.25">
      <c r="A57" s="73" t="s">
        <v>19</v>
      </c>
      <c r="B57" s="74"/>
      <c r="C57" s="74"/>
      <c r="D57" s="79">
        <f>D9</f>
        <v>179.52</v>
      </c>
      <c r="E57" s="80" t="s">
        <v>20</v>
      </c>
      <c r="F57" s="76"/>
      <c r="G57" s="74"/>
      <c r="H57" s="74"/>
      <c r="I57" s="74"/>
      <c r="J57" s="86"/>
      <c r="K57" s="119">
        <v>1.6</v>
      </c>
      <c r="L57" s="86" t="e">
        <v>#NUM!</v>
      </c>
      <c r="M57" s="119" t="e">
        <v>#NUM!</v>
      </c>
      <c r="N57" s="88" t="e">
        <f t="shared" si="0"/>
        <v>#NUM!</v>
      </c>
      <c r="O57" s="74"/>
      <c r="P57" s="74"/>
      <c r="Q57" s="74"/>
      <c r="R57" s="74"/>
      <c r="S57" s="77" t="s">
        <v>110</v>
      </c>
      <c r="T57" s="75">
        <f>(($D$7*$D$8)/(($D$6+$D$7)*($D$8+$D$32)))*(1+($D$6*$D$16)/($D$7*$T$30))</f>
        <v>1.4352439774505395E-2</v>
      </c>
      <c r="U57" s="27">
        <f>SUM(T55:T58)</f>
        <v>1</v>
      </c>
      <c r="V57" s="23" t="s">
        <v>111</v>
      </c>
      <c r="BX57" s="43"/>
      <c r="BY57" s="43"/>
      <c r="DU57" s="42"/>
      <c r="DV57" s="42"/>
      <c r="DW57" s="42"/>
      <c r="DX57" s="42"/>
      <c r="DY57" s="42"/>
      <c r="DZ57" s="42"/>
      <c r="EA57" s="42"/>
      <c r="EB57" s="42"/>
      <c r="EC57" s="42"/>
      <c r="ED57" s="42"/>
    </row>
    <row r="58" spans="1:134" x14ac:dyDescent="0.25">
      <c r="A58" s="73" t="s">
        <v>24</v>
      </c>
      <c r="B58" s="74"/>
      <c r="C58" s="74"/>
      <c r="D58" s="75">
        <f>D11</f>
        <v>1E-4</v>
      </c>
      <c r="E58" s="80" t="s">
        <v>25</v>
      </c>
      <c r="F58" s="76"/>
      <c r="G58" s="74"/>
      <c r="H58" s="74"/>
      <c r="I58" s="74"/>
      <c r="J58" s="86"/>
      <c r="K58" s="119">
        <v>1.7</v>
      </c>
      <c r="L58" s="86" t="e">
        <v>#NUM!</v>
      </c>
      <c r="M58" s="119" t="e">
        <v>#NUM!</v>
      </c>
      <c r="N58" s="88" t="e">
        <f>+M58/L58</f>
        <v>#NUM!</v>
      </c>
      <c r="O58" s="74"/>
      <c r="P58" s="74"/>
      <c r="Q58" s="74"/>
      <c r="R58" s="74">
        <f>+D7^2/(D7+D6)^2</f>
        <v>5.9171597633136093E-3</v>
      </c>
      <c r="S58" s="77" t="s">
        <v>112</v>
      </c>
      <c r="T58" s="75">
        <f>(($D$7*$D$32)/(($D$6+$D$7)*($D$8+$D$32)))*(1+($D$6*$D$16)/($D$7*$T$30))</f>
        <v>3.2292989492637141E-2</v>
      </c>
      <c r="AB58" s="16" t="s">
        <v>113</v>
      </c>
      <c r="AC58" s="27" t="str">
        <f>("("&amp;AC61&amp;","&amp;AC64&amp;")")</f>
        <v>(12C,4He)</v>
      </c>
      <c r="AK58" s="16"/>
      <c r="AL58" s="16"/>
      <c r="BX58" s="43"/>
      <c r="BY58" s="43"/>
      <c r="DU58" s="42"/>
      <c r="DV58" s="42"/>
      <c r="DW58" s="42"/>
      <c r="DX58" s="42"/>
      <c r="DY58" s="42"/>
      <c r="DZ58" s="42"/>
      <c r="EA58" s="42"/>
      <c r="EB58" s="42"/>
      <c r="EC58" s="42"/>
      <c r="ED58" s="42"/>
    </row>
    <row r="59" spans="1:134" x14ac:dyDescent="0.25">
      <c r="J59" s="86"/>
      <c r="K59" s="119">
        <v>1.8</v>
      </c>
      <c r="L59" s="86" t="e">
        <v>#NUM!</v>
      </c>
      <c r="M59" s="119" t="e">
        <v>#NUM!</v>
      </c>
      <c r="N59" s="88" t="e">
        <f t="shared" si="0"/>
        <v>#NUM!</v>
      </c>
      <c r="S59" s="16" t="s">
        <v>114</v>
      </c>
      <c r="T59" s="27">
        <f>(14.395/1000000)/100000000</f>
        <v>1.4395000000000001E-13</v>
      </c>
      <c r="U59" s="23" t="s">
        <v>115</v>
      </c>
      <c r="AL59" s="16"/>
      <c r="BX59" s="43"/>
      <c r="BY59" s="43"/>
      <c r="DU59" s="42"/>
      <c r="DV59" s="42"/>
      <c r="DW59" s="42"/>
      <c r="DX59" s="42"/>
      <c r="DY59" s="42"/>
      <c r="DZ59" s="42"/>
      <c r="EA59" s="42"/>
      <c r="EB59" s="42"/>
      <c r="EC59" s="42"/>
      <c r="ED59" s="42"/>
    </row>
    <row r="60" spans="1:134" x14ac:dyDescent="0.25">
      <c r="A60" s="2" t="s">
        <v>116</v>
      </c>
      <c r="D60" s="57" t="s">
        <v>12</v>
      </c>
      <c r="J60" s="86"/>
      <c r="K60" s="119">
        <v>1.9</v>
      </c>
      <c r="L60" s="86" t="e">
        <v>#NUM!</v>
      </c>
      <c r="M60" s="119" t="e">
        <v>#NUM!</v>
      </c>
      <c r="N60" s="88" t="e">
        <f t="shared" si="0"/>
        <v>#NUM!</v>
      </c>
      <c r="U60" s="52"/>
      <c r="V60" s="42"/>
      <c r="W60" s="58"/>
      <c r="AB60" s="16" t="s">
        <v>117</v>
      </c>
      <c r="AC60" s="23" t="s">
        <v>118</v>
      </c>
      <c r="AL60" s="23"/>
      <c r="AS60" s="53"/>
      <c r="BX60" s="43"/>
      <c r="BY60" s="43"/>
      <c r="DU60" s="42"/>
      <c r="DV60" s="42"/>
      <c r="DW60" s="42"/>
      <c r="DX60" s="42"/>
      <c r="DY60" s="42"/>
      <c r="EA60" s="42"/>
      <c r="EB60" s="42"/>
      <c r="EC60" s="42"/>
      <c r="ED60" s="42"/>
    </row>
    <row r="61" spans="1:134" x14ac:dyDescent="0.25">
      <c r="A61" s="2" t="s">
        <v>95</v>
      </c>
      <c r="D61" s="42">
        <f>$T$76</f>
        <v>38.240946745562134</v>
      </c>
      <c r="E61" s="23" t="s">
        <v>20</v>
      </c>
      <c r="J61" s="86"/>
      <c r="K61" s="119">
        <v>2</v>
      </c>
      <c r="L61" s="86" t="e">
        <v>#NUM!</v>
      </c>
      <c r="M61" s="119" t="e">
        <v>#NUM!</v>
      </c>
      <c r="N61" s="88" t="e">
        <f t="shared" si="0"/>
        <v>#NUM!</v>
      </c>
      <c r="R61" s="16" t="s">
        <v>119</v>
      </c>
      <c r="S61" s="16" t="s">
        <v>120</v>
      </c>
      <c r="T61" s="58" t="e">
        <f>(U61*U62/U63)/1E-24</f>
        <v>#NUM!</v>
      </c>
      <c r="U61" s="27">
        <f>($C$6*$C$7*$T$59/(2*$D$9))^2</f>
        <v>0</v>
      </c>
      <c r="V61" s="27">
        <f>($C$6*$C$7*$T$59/(2*$F$42))^2</f>
        <v>0</v>
      </c>
      <c r="AB61" s="57" t="s">
        <v>121</v>
      </c>
      <c r="AC61" s="27" t="str">
        <f>INDEX($Z$69:$DQ$310,$D$6+1,1)&amp;INDEX($Z$69:$DQ$310,1,$C$6+1+1)</f>
        <v>12C</v>
      </c>
      <c r="AL61" s="16"/>
      <c r="BX61" s="43"/>
      <c r="BY61" s="43"/>
    </row>
    <row r="62" spans="1:134" x14ac:dyDescent="0.25">
      <c r="A62" s="2" t="s">
        <v>122</v>
      </c>
      <c r="D62" s="42" t="e">
        <f>B106</f>
        <v>#DIV/0!</v>
      </c>
      <c r="E62" s="23" t="s">
        <v>123</v>
      </c>
      <c r="J62" s="86"/>
      <c r="K62" s="119">
        <v>2.1</v>
      </c>
      <c r="L62" s="86" t="e">
        <v>#NUM!</v>
      </c>
      <c r="M62" s="119" t="e">
        <v>#NUM!</v>
      </c>
      <c r="N62" s="88" t="e">
        <f t="shared" si="0"/>
        <v>#NUM!</v>
      </c>
      <c r="Q62" s="15">
        <v>180</v>
      </c>
      <c r="R62" s="43">
        <f>0.01*(C6*C7*1.4395/(4*D9))^2</f>
        <v>0</v>
      </c>
      <c r="S62" s="16" t="s">
        <v>124</v>
      </c>
      <c r="T62" s="91" t="e">
        <f>+V61/4/V63/1E-24</f>
        <v>#NUM!</v>
      </c>
      <c r="U62" s="27" t="e">
        <f>($W$71+(1-($D$6/$D$7)^2*$W$73)^0.5)^2</f>
        <v>#NUM!</v>
      </c>
      <c r="AB62" s="16" t="s">
        <v>125</v>
      </c>
      <c r="AC62" s="27" t="str">
        <f>INDEX($Z$69:$DQ$310,$D$7+1,1)&amp;INDEX($Z$69:$DQ$310,1,$C$7+1+1)</f>
        <v>1n</v>
      </c>
      <c r="AE62" s="23" t="s">
        <v>126</v>
      </c>
      <c r="BX62" s="43"/>
      <c r="BY62" s="43"/>
    </row>
    <row r="63" spans="1:134" x14ac:dyDescent="0.25">
      <c r="A63" s="2" t="s">
        <v>127</v>
      </c>
      <c r="D63" s="27" t="str">
        <f>$E$54</f>
        <v>1n</v>
      </c>
      <c r="I63" s="50"/>
      <c r="J63" s="86"/>
      <c r="K63" s="119">
        <v>2.2000000000000002</v>
      </c>
      <c r="L63" s="86" t="e">
        <v>#NUM!</v>
      </c>
      <c r="M63" s="119" t="e">
        <v>#NUM!</v>
      </c>
      <c r="N63" s="88" t="e">
        <f t="shared" si="0"/>
        <v>#NUM!</v>
      </c>
      <c r="Q63" s="69" t="s">
        <v>538</v>
      </c>
      <c r="R63" s="43">
        <f>+R62*(SIN(W69/T16/2)^-4+2*(D6/D7)^2)</f>
        <v>0</v>
      </c>
      <c r="U63" s="27" t="e">
        <f>($W$72^4*(1-($D$6/$D$7)^2*$W$73)^0.5)</f>
        <v>#NUM!</v>
      </c>
      <c r="V63" s="91" t="e">
        <f>SIN(T23/T16/2)^4</f>
        <v>#NUM!</v>
      </c>
      <c r="X63" s="15" t="e">
        <f>+(C6*C7*T59/(4*F42))^2/SIN(X69/T16/2)^4</f>
        <v>#NUM!</v>
      </c>
      <c r="AB63" s="16" t="s">
        <v>128</v>
      </c>
      <c r="AC63" s="27" t="str">
        <f>INDEX($Z$69:$DQ$310,($D$6+$D$7)+1,1)&amp;INDEX($Z$69:$DQ$310,1,($C$6+$C$7+1)+1)</f>
        <v>13C</v>
      </c>
      <c r="AE63" s="42">
        <v>12.859379473599907</v>
      </c>
      <c r="AK63" s="16"/>
      <c r="AL63" s="16"/>
      <c r="BX63" s="43"/>
      <c r="BY63" s="43"/>
      <c r="DU63" s="42"/>
      <c r="DV63" s="42"/>
      <c r="DW63" s="42"/>
      <c r="DX63" s="42"/>
      <c r="DY63" s="42"/>
      <c r="DZ63" s="42"/>
      <c r="EA63" s="42"/>
      <c r="EB63" s="42"/>
      <c r="EC63" s="42"/>
      <c r="ED63" s="42"/>
    </row>
    <row r="64" spans="1:134" x14ac:dyDescent="0.25">
      <c r="A64" s="2" t="s">
        <v>22</v>
      </c>
      <c r="D64" s="27">
        <f>$D$56</f>
        <v>116</v>
      </c>
      <c r="E64" s="23" t="s">
        <v>23</v>
      </c>
      <c r="J64" s="86"/>
      <c r="K64" s="119">
        <v>2.2999999999999998</v>
      </c>
      <c r="L64" s="86" t="e">
        <v>#NUM!</v>
      </c>
      <c r="M64" s="119" t="e">
        <v>#NUM!</v>
      </c>
      <c r="N64" s="88" t="e">
        <f t="shared" si="0"/>
        <v>#NUM!</v>
      </c>
      <c r="R64" s="42" t="e">
        <f>+R62/R63</f>
        <v>#DIV/0!</v>
      </c>
      <c r="T64" s="15" t="e">
        <f>+T62/T61</f>
        <v>#NUM!</v>
      </c>
      <c r="V64" s="42"/>
      <c r="AB64" s="16" t="s">
        <v>129</v>
      </c>
      <c r="AC64" s="27" t="str">
        <f>INDEX($Z$69:$DQ$310,$D$8+1,1)&amp;INDEX($Z$69:$DQ$310,1,$C$8+1+1)</f>
        <v>4He</v>
      </c>
      <c r="AL64" s="23"/>
      <c r="BX64" s="43"/>
      <c r="BY64" s="43"/>
    </row>
    <row r="65" spans="1:134" x14ac:dyDescent="0.25">
      <c r="A65" s="2" t="s">
        <v>78</v>
      </c>
      <c r="D65" s="27" t="str">
        <f>$E$53</f>
        <v>12C</v>
      </c>
      <c r="J65" s="86"/>
      <c r="K65" s="119">
        <v>2.4</v>
      </c>
      <c r="L65" s="86" t="e">
        <v>#NUM!</v>
      </c>
      <c r="M65" s="119" t="e">
        <v>#NUM!</v>
      </c>
      <c r="N65" s="88" t="e">
        <f t="shared" si="0"/>
        <v>#NUM!</v>
      </c>
      <c r="T65" s="15" t="e">
        <f>1/T64</f>
        <v>#NUM!</v>
      </c>
      <c r="V65" s="54"/>
      <c r="AB65" s="16" t="s">
        <v>130</v>
      </c>
      <c r="AC65" s="27" t="str">
        <f>INDEX($Z$69:$DQ$310,$D$32+1,1)&amp;INDEX($Z$69:$DQ$310,1,$B$32+1+1)</f>
        <v>9Be</v>
      </c>
      <c r="AD65" s="42"/>
      <c r="AL65" s="16"/>
    </row>
    <row r="66" spans="1:134" x14ac:dyDescent="0.25">
      <c r="A66" s="2" t="s">
        <v>92</v>
      </c>
      <c r="D66" s="42">
        <f>$D$9*V27</f>
        <v>110.58159750092615</v>
      </c>
      <c r="E66" s="42" t="str">
        <f>IF(ISERR($W$76)=1,$S$87,$S$86)</f>
        <v>MeV at MAX ANGLE</v>
      </c>
      <c r="J66" s="86"/>
      <c r="K66" s="119">
        <v>2.5</v>
      </c>
      <c r="L66" s="86" t="e">
        <v>#NUM!</v>
      </c>
      <c r="M66" s="119" t="e">
        <v>#NUM!</v>
      </c>
      <c r="N66" s="88" t="e">
        <f t="shared" si="0"/>
        <v>#NUM!</v>
      </c>
      <c r="V66" s="50"/>
      <c r="Z66" s="16" t="s">
        <v>131</v>
      </c>
      <c r="AD66" s="42"/>
      <c r="BS66" s="43"/>
      <c r="BT66" s="43"/>
    </row>
    <row r="67" spans="1:134" x14ac:dyDescent="0.25">
      <c r="A67" s="12" t="s">
        <v>132</v>
      </c>
      <c r="D67" s="15">
        <f>B95</f>
        <v>110.58150229170523</v>
      </c>
      <c r="E67" s="42" t="str">
        <f>IF(ISERR($W$76)=1,$S$87,$S$86)</f>
        <v>MeV at MAX ANGLE</v>
      </c>
      <c r="J67" s="86"/>
      <c r="K67" s="119">
        <v>2.6</v>
      </c>
      <c r="L67" s="86" t="e">
        <v>#NUM!</v>
      </c>
      <c r="M67" s="119" t="e">
        <v>#NUM!</v>
      </c>
      <c r="N67" s="88" t="e">
        <f t="shared" si="0"/>
        <v>#NUM!</v>
      </c>
      <c r="W67" s="16" t="s">
        <v>133</v>
      </c>
      <c r="X67" s="16" t="s">
        <v>134</v>
      </c>
      <c r="AA67" s="16" t="s">
        <v>135</v>
      </c>
      <c r="DU67" s="42"/>
      <c r="DV67" s="42"/>
      <c r="DW67" s="42"/>
      <c r="DX67" s="42"/>
      <c r="DY67" s="42"/>
      <c r="EA67" s="42"/>
      <c r="EB67" s="42"/>
      <c r="EC67" s="42"/>
      <c r="ED67" s="42"/>
    </row>
    <row r="68" spans="1:134" x14ac:dyDescent="0.25">
      <c r="A68" s="2" t="s">
        <v>136</v>
      </c>
      <c r="D68" s="54" t="e">
        <f>IF(ISERR($W$76)=1,180,$W$76)</f>
        <v>#VALUE!</v>
      </c>
      <c r="E68" s="23" t="s">
        <v>23</v>
      </c>
      <c r="J68" s="89"/>
      <c r="K68" s="119">
        <v>2.7</v>
      </c>
      <c r="L68" s="86" t="e">
        <v>#NUM!</v>
      </c>
      <c r="M68" s="119" t="e">
        <v>#NUM!</v>
      </c>
      <c r="N68" s="88" t="e">
        <f t="shared" si="0"/>
        <v>#NUM!</v>
      </c>
      <c r="S68" s="23" t="s">
        <v>20</v>
      </c>
      <c r="V68" s="16" t="s">
        <v>137</v>
      </c>
      <c r="Z68" s="16" t="s">
        <v>138</v>
      </c>
      <c r="AA68" s="27">
        <v>0</v>
      </c>
      <c r="AB68" s="59" t="s">
        <v>139</v>
      </c>
      <c r="AC68" s="59" t="s">
        <v>140</v>
      </c>
      <c r="AD68" s="59" t="s">
        <v>141</v>
      </c>
      <c r="AE68" s="59" t="s">
        <v>142</v>
      </c>
      <c r="AF68" s="59" t="s">
        <v>143</v>
      </c>
      <c r="AG68" s="59" t="s">
        <v>144</v>
      </c>
      <c r="AH68" s="59" t="s">
        <v>145</v>
      </c>
      <c r="AI68" s="59" t="s">
        <v>146</v>
      </c>
      <c r="AJ68" s="59" t="s">
        <v>147</v>
      </c>
      <c r="AK68" s="59" t="s">
        <v>148</v>
      </c>
      <c r="AL68" s="59" t="s">
        <v>149</v>
      </c>
      <c r="AM68" s="59" t="s">
        <v>150</v>
      </c>
      <c r="AN68" s="59" t="s">
        <v>151</v>
      </c>
      <c r="AO68" s="59" t="s">
        <v>152</v>
      </c>
      <c r="AP68" s="59" t="s">
        <v>153</v>
      </c>
      <c r="AQ68" s="59" t="s">
        <v>154</v>
      </c>
      <c r="AR68" s="59" t="s">
        <v>155</v>
      </c>
      <c r="AS68" s="59" t="s">
        <v>156</v>
      </c>
      <c r="AT68" s="59" t="s">
        <v>157</v>
      </c>
      <c r="AU68" s="59" t="s">
        <v>158</v>
      </c>
      <c r="AV68" s="16" t="s">
        <v>159</v>
      </c>
      <c r="AW68" s="16" t="s">
        <v>160</v>
      </c>
      <c r="AX68" s="16" t="s">
        <v>161</v>
      </c>
      <c r="AY68" s="16" t="s">
        <v>162</v>
      </c>
      <c r="AZ68" s="16" t="s">
        <v>163</v>
      </c>
      <c r="BA68" s="16" t="s">
        <v>164</v>
      </c>
      <c r="BB68" s="16" t="s">
        <v>165</v>
      </c>
      <c r="BC68" s="59" t="s">
        <v>166</v>
      </c>
      <c r="BD68" s="16" t="s">
        <v>167</v>
      </c>
      <c r="BE68" s="16" t="s">
        <v>168</v>
      </c>
      <c r="BF68" s="16" t="s">
        <v>169</v>
      </c>
      <c r="BG68" s="16" t="s">
        <v>170</v>
      </c>
      <c r="BH68" s="16" t="s">
        <v>171</v>
      </c>
      <c r="BI68" s="16" t="s">
        <v>172</v>
      </c>
      <c r="BJ68" s="16" t="s">
        <v>173</v>
      </c>
      <c r="BK68" s="16" t="s">
        <v>174</v>
      </c>
      <c r="BL68" s="16" t="s">
        <v>175</v>
      </c>
      <c r="BM68" s="16" t="s">
        <v>176</v>
      </c>
      <c r="BN68" s="16" t="s">
        <v>177</v>
      </c>
      <c r="BO68" s="16" t="s">
        <v>178</v>
      </c>
      <c r="BP68" s="16" t="s">
        <v>179</v>
      </c>
      <c r="BQ68" s="16" t="s">
        <v>180</v>
      </c>
      <c r="BR68" s="16" t="s">
        <v>181</v>
      </c>
      <c r="BS68" s="16" t="s">
        <v>182</v>
      </c>
      <c r="BT68" s="16" t="s">
        <v>183</v>
      </c>
      <c r="BU68" s="16" t="s">
        <v>184</v>
      </c>
      <c r="BV68" s="16" t="s">
        <v>185</v>
      </c>
      <c r="BW68" s="16" t="s">
        <v>186</v>
      </c>
      <c r="BX68" s="16" t="s">
        <v>187</v>
      </c>
      <c r="BY68" s="16" t="s">
        <v>188</v>
      </c>
      <c r="BZ68" s="16" t="s">
        <v>189</v>
      </c>
      <c r="CA68" s="16" t="s">
        <v>190</v>
      </c>
      <c r="CB68" s="16" t="s">
        <v>191</v>
      </c>
      <c r="CC68" s="16" t="s">
        <v>192</v>
      </c>
      <c r="CD68" s="16" t="s">
        <v>193</v>
      </c>
      <c r="CE68" s="16" t="s">
        <v>194</v>
      </c>
      <c r="CF68" s="16" t="s">
        <v>195</v>
      </c>
      <c r="CG68" s="16" t="s">
        <v>196</v>
      </c>
      <c r="CH68" s="16" t="s">
        <v>197</v>
      </c>
      <c r="CI68" s="16" t="s">
        <v>198</v>
      </c>
      <c r="CJ68" s="16" t="s">
        <v>199</v>
      </c>
      <c r="CK68" s="16" t="s">
        <v>200</v>
      </c>
      <c r="CL68" s="16" t="s">
        <v>201</v>
      </c>
      <c r="CM68" s="16" t="s">
        <v>202</v>
      </c>
      <c r="CN68" s="16" t="s">
        <v>203</v>
      </c>
      <c r="CO68" s="16" t="s">
        <v>204</v>
      </c>
      <c r="CP68" s="16" t="s">
        <v>205</v>
      </c>
      <c r="CQ68" s="16" t="s">
        <v>206</v>
      </c>
      <c r="CR68" s="16" t="s">
        <v>207</v>
      </c>
      <c r="CS68" s="16" t="s">
        <v>208</v>
      </c>
      <c r="CT68" s="16" t="s">
        <v>209</v>
      </c>
      <c r="CU68" s="16" t="s">
        <v>210</v>
      </c>
      <c r="CV68" s="16" t="s">
        <v>211</v>
      </c>
      <c r="CW68" s="16" t="s">
        <v>212</v>
      </c>
      <c r="CX68" s="16" t="s">
        <v>213</v>
      </c>
      <c r="CY68" s="16" t="s">
        <v>214</v>
      </c>
      <c r="CZ68" s="16" t="s">
        <v>215</v>
      </c>
      <c r="DA68" s="16" t="s">
        <v>216</v>
      </c>
      <c r="DB68" s="16" t="s">
        <v>217</v>
      </c>
      <c r="DC68" s="16" t="s">
        <v>218</v>
      </c>
      <c r="DD68" s="16" t="s">
        <v>219</v>
      </c>
      <c r="DE68" s="16" t="s">
        <v>220</v>
      </c>
      <c r="DF68" s="16" t="s">
        <v>221</v>
      </c>
      <c r="DG68" s="16" t="s">
        <v>222</v>
      </c>
      <c r="DH68" s="16" t="s">
        <v>223</v>
      </c>
      <c r="DI68" s="16" t="s">
        <v>224</v>
      </c>
      <c r="DJ68" s="16" t="s">
        <v>225</v>
      </c>
      <c r="DK68" s="16" t="s">
        <v>226</v>
      </c>
      <c r="DL68" s="16" t="s">
        <v>227</v>
      </c>
      <c r="DM68" s="16" t="s">
        <v>228</v>
      </c>
      <c r="DN68" s="16" t="s">
        <v>229</v>
      </c>
      <c r="DO68" s="16" t="s">
        <v>230</v>
      </c>
      <c r="DP68" s="27">
        <v>93</v>
      </c>
      <c r="DQ68" s="27">
        <v>94</v>
      </c>
    </row>
    <row r="69" spans="1:134" x14ac:dyDescent="0.25">
      <c r="A69" s="2" t="s">
        <v>231</v>
      </c>
      <c r="D69" s="27">
        <f>20.73*(C53*C54*(D53+D54)/(2*D54*D57))^2/COS(D56*3.14159/180)^3</f>
        <v>0</v>
      </c>
      <c r="E69" s="23" t="s">
        <v>89</v>
      </c>
      <c r="J69" s="86"/>
      <c r="K69" s="119">
        <v>2.8</v>
      </c>
      <c r="L69" s="86" t="e">
        <v>#NUM!</v>
      </c>
      <c r="M69" s="119" t="e">
        <v>#NUM!</v>
      </c>
      <c r="N69" s="88" t="e">
        <f t="shared" si="0"/>
        <v>#NUM!</v>
      </c>
      <c r="S69" s="16" t="s">
        <v>232</v>
      </c>
      <c r="T69" s="42" t="e">
        <f>(($W$71+($T$29^2-$W$73)^0.5)/(1+$T$29))^2</f>
        <v>#NUM!</v>
      </c>
      <c r="V69" s="16" t="s">
        <v>233</v>
      </c>
      <c r="W69" s="27">
        <f>$D$43</f>
        <v>116</v>
      </c>
      <c r="X69" s="50" t="e">
        <f>($D$43/T16+ASIN($D$6*W72/$D$7))*T16</f>
        <v>#NUM!</v>
      </c>
      <c r="Z69" s="16" t="s">
        <v>118</v>
      </c>
      <c r="AA69" s="16" t="s">
        <v>234</v>
      </c>
      <c r="AB69" s="16" t="s">
        <v>235</v>
      </c>
      <c r="AC69" s="16" t="s">
        <v>236</v>
      </c>
      <c r="AD69" s="16" t="s">
        <v>237</v>
      </c>
      <c r="AE69" s="16" t="s">
        <v>238</v>
      </c>
      <c r="AF69" s="16" t="s">
        <v>108</v>
      </c>
      <c r="AG69" s="16" t="s">
        <v>110</v>
      </c>
      <c r="AH69" s="16" t="s">
        <v>239</v>
      </c>
      <c r="AI69" s="16" t="s">
        <v>240</v>
      </c>
      <c r="AJ69" s="16" t="s">
        <v>241</v>
      </c>
      <c r="AK69" s="16" t="s">
        <v>242</v>
      </c>
      <c r="AL69" s="16" t="s">
        <v>243</v>
      </c>
      <c r="AM69" s="16" t="s">
        <v>244</v>
      </c>
      <c r="AN69" s="16" t="s">
        <v>245</v>
      </c>
      <c r="AO69" s="16" t="s">
        <v>246</v>
      </c>
      <c r="AP69" s="16" t="s">
        <v>247</v>
      </c>
      <c r="AQ69" s="16" t="s">
        <v>248</v>
      </c>
      <c r="AR69" s="16" t="s">
        <v>249</v>
      </c>
      <c r="AS69" s="16" t="s">
        <v>250</v>
      </c>
      <c r="AT69" s="16" t="s">
        <v>232</v>
      </c>
      <c r="AU69" s="16" t="s">
        <v>251</v>
      </c>
      <c r="AV69" s="16" t="s">
        <v>252</v>
      </c>
      <c r="AW69" s="16" t="s">
        <v>253</v>
      </c>
      <c r="AX69" s="16" t="s">
        <v>254</v>
      </c>
      <c r="AY69" s="16" t="s">
        <v>255</v>
      </c>
      <c r="AZ69" s="16" t="s">
        <v>256</v>
      </c>
      <c r="BA69" s="16" t="s">
        <v>257</v>
      </c>
      <c r="BB69" s="16" t="s">
        <v>258</v>
      </c>
      <c r="BC69" s="16" t="s">
        <v>259</v>
      </c>
      <c r="BD69" s="16" t="s">
        <v>260</v>
      </c>
      <c r="BE69" s="16" t="s">
        <v>261</v>
      </c>
      <c r="BF69" s="16" t="s">
        <v>262</v>
      </c>
      <c r="BG69" s="16" t="s">
        <v>263</v>
      </c>
      <c r="BH69" s="16" t="s">
        <v>264</v>
      </c>
      <c r="BI69" s="16" t="s">
        <v>265</v>
      </c>
      <c r="BJ69" s="16" t="s">
        <v>266</v>
      </c>
      <c r="BK69" s="16" t="s">
        <v>267</v>
      </c>
      <c r="BL69" s="16" t="s">
        <v>268</v>
      </c>
      <c r="BM69" s="16" t="s">
        <v>269</v>
      </c>
      <c r="BN69" s="16" t="s">
        <v>270</v>
      </c>
      <c r="BO69" s="16" t="s">
        <v>271</v>
      </c>
      <c r="BP69" s="16" t="s">
        <v>272</v>
      </c>
      <c r="BQ69" s="16" t="s">
        <v>273</v>
      </c>
      <c r="BR69" s="16" t="s">
        <v>274</v>
      </c>
      <c r="BS69" s="16" t="s">
        <v>275</v>
      </c>
      <c r="BT69" s="16" t="s">
        <v>276</v>
      </c>
      <c r="BU69" s="16" t="s">
        <v>277</v>
      </c>
      <c r="BV69" s="16" t="s">
        <v>278</v>
      </c>
      <c r="BW69" s="16" t="s">
        <v>279</v>
      </c>
      <c r="BX69" s="16" t="s">
        <v>280</v>
      </c>
      <c r="BY69" s="16" t="s">
        <v>281</v>
      </c>
      <c r="BZ69" s="16" t="s">
        <v>282</v>
      </c>
      <c r="CA69" s="16" t="s">
        <v>283</v>
      </c>
      <c r="CB69" s="16" t="s">
        <v>284</v>
      </c>
      <c r="CC69" s="16" t="s">
        <v>285</v>
      </c>
      <c r="CD69" s="16" t="s">
        <v>286</v>
      </c>
      <c r="CE69" s="16" t="s">
        <v>287</v>
      </c>
      <c r="CF69" s="16" t="s">
        <v>288</v>
      </c>
      <c r="CG69" s="16" t="s">
        <v>289</v>
      </c>
      <c r="CH69" s="16" t="s">
        <v>290</v>
      </c>
      <c r="CI69" s="16" t="s">
        <v>291</v>
      </c>
      <c r="CJ69" s="16" t="s">
        <v>292</v>
      </c>
      <c r="CK69" s="16" t="s">
        <v>293</v>
      </c>
      <c r="CL69" s="16" t="s">
        <v>294</v>
      </c>
      <c r="CM69" s="16" t="s">
        <v>295</v>
      </c>
      <c r="CN69" s="16" t="s">
        <v>296</v>
      </c>
      <c r="CO69" s="16" t="s">
        <v>297</v>
      </c>
      <c r="CP69" s="16" t="s">
        <v>298</v>
      </c>
      <c r="CQ69" s="16" t="s">
        <v>299</v>
      </c>
      <c r="CR69" s="16" t="s">
        <v>300</v>
      </c>
      <c r="CS69" s="16" t="s">
        <v>301</v>
      </c>
      <c r="CT69" s="16" t="s">
        <v>302</v>
      </c>
      <c r="CU69" s="16" t="s">
        <v>303</v>
      </c>
      <c r="CV69" s="16" t="s">
        <v>304</v>
      </c>
      <c r="CW69" s="16" t="s">
        <v>305</v>
      </c>
      <c r="CX69" s="16" t="s">
        <v>306</v>
      </c>
      <c r="CY69" s="16" t="s">
        <v>307</v>
      </c>
      <c r="CZ69" s="16" t="s">
        <v>308</v>
      </c>
      <c r="DA69" s="16" t="s">
        <v>309</v>
      </c>
      <c r="DB69" s="16" t="s">
        <v>310</v>
      </c>
      <c r="DC69" s="16" t="s">
        <v>311</v>
      </c>
      <c r="DD69" s="16" t="s">
        <v>312</v>
      </c>
      <c r="DE69" s="16" t="s">
        <v>313</v>
      </c>
      <c r="DF69" s="16" t="s">
        <v>314</v>
      </c>
      <c r="DG69" s="16" t="s">
        <v>315</v>
      </c>
      <c r="DH69" s="16" t="s">
        <v>316</v>
      </c>
      <c r="DI69" s="16" t="s">
        <v>317</v>
      </c>
      <c r="DJ69" s="16" t="s">
        <v>318</v>
      </c>
      <c r="DK69" s="16" t="s">
        <v>319</v>
      </c>
      <c r="DL69" s="16" t="s">
        <v>320</v>
      </c>
      <c r="DM69" s="16" t="s">
        <v>321</v>
      </c>
      <c r="DN69" s="16" t="s">
        <v>322</v>
      </c>
      <c r="DO69" s="16" t="s">
        <v>323</v>
      </c>
      <c r="DP69" s="16" t="s">
        <v>324</v>
      </c>
      <c r="DQ69" s="16" t="s">
        <v>325</v>
      </c>
    </row>
    <row r="70" spans="1:134" x14ac:dyDescent="0.25">
      <c r="J70" s="86"/>
      <c r="K70" s="119">
        <v>2.9</v>
      </c>
      <c r="L70" s="86" t="e">
        <v>#NUM!</v>
      </c>
      <c r="M70" s="119" t="e">
        <v>#NUM!</v>
      </c>
      <c r="N70" s="88" t="e">
        <f t="shared" si="0"/>
        <v>#NUM!</v>
      </c>
      <c r="S70" s="16" t="s">
        <v>326</v>
      </c>
      <c r="T70" s="55" t="e">
        <f>$T$69*$D$9</f>
        <v>#NUM!</v>
      </c>
      <c r="V70" s="16" t="s">
        <v>327</v>
      </c>
      <c r="W70" s="43">
        <f>W69*3.14159/180</f>
        <v>2.0245802222222222</v>
      </c>
      <c r="X70" s="27">
        <v>2.8867520437663026</v>
      </c>
      <c r="Z70" s="16" t="s">
        <v>139</v>
      </c>
      <c r="AA70" s="27">
        <v>1.0086649670000001</v>
      </c>
      <c r="AB70" s="27">
        <v>1.00782522</v>
      </c>
    </row>
    <row r="71" spans="1:134" x14ac:dyDescent="0.25">
      <c r="A71" s="2" t="s">
        <v>328</v>
      </c>
      <c r="J71" s="86"/>
      <c r="K71" s="119">
        <v>3</v>
      </c>
      <c r="L71" s="86" t="e">
        <v>#NUM!</v>
      </c>
      <c r="M71" s="119" t="e">
        <v>#NUM!</v>
      </c>
      <c r="N71" s="88" t="e">
        <f t="shared" si="0"/>
        <v>#NUM!</v>
      </c>
      <c r="S71" s="16" t="s">
        <v>329</v>
      </c>
      <c r="T71" s="42" t="e">
        <f>(1-$T$69)*$D$9</f>
        <v>#NUM!</v>
      </c>
      <c r="V71" s="16" t="s">
        <v>330</v>
      </c>
      <c r="W71" s="43">
        <f>COS($W$70)</f>
        <v>-0.43836960976864714</v>
      </c>
      <c r="X71" s="27">
        <f>COS(X70)</f>
        <v>-0.96770348883675772</v>
      </c>
      <c r="Z71" s="16" t="s">
        <v>140</v>
      </c>
      <c r="AB71" s="27">
        <v>2.014101787</v>
      </c>
      <c r="DU71" s="42"/>
      <c r="DV71" s="42"/>
      <c r="DW71" s="42"/>
      <c r="DX71" s="42"/>
      <c r="DY71" s="42"/>
      <c r="EA71" s="42"/>
      <c r="EB71" s="42"/>
      <c r="EC71" s="42"/>
      <c r="ED71" s="42"/>
    </row>
    <row r="72" spans="1:134" x14ac:dyDescent="0.25">
      <c r="A72" s="2" t="s">
        <v>331</v>
      </c>
      <c r="B72" s="50"/>
      <c r="C72" s="60"/>
      <c r="D72" s="42"/>
      <c r="H72" s="43"/>
      <c r="I72" s="43"/>
      <c r="J72" s="108"/>
      <c r="K72" s="109"/>
      <c r="L72" s="109"/>
      <c r="M72" s="109"/>
      <c r="N72" s="110"/>
      <c r="V72" s="16" t="s">
        <v>332</v>
      </c>
      <c r="W72" s="43">
        <f>SIN($W$70)</f>
        <v>0.89879479595249323</v>
      </c>
      <c r="X72" s="27">
        <f>SIN(X70)</f>
        <v>0.2520911694073536</v>
      </c>
      <c r="Z72" s="16" t="s">
        <v>141</v>
      </c>
      <c r="AB72" s="27">
        <v>3.0160492859999999</v>
      </c>
      <c r="AC72" s="27">
        <v>3.0160292970000002</v>
      </c>
    </row>
    <row r="73" spans="1:134" x14ac:dyDescent="0.25">
      <c r="B73" s="50"/>
      <c r="C73" s="60"/>
      <c r="D73" s="42"/>
      <c r="H73" s="43"/>
      <c r="I73" s="43"/>
      <c r="J73" s="108"/>
      <c r="K73" s="109"/>
      <c r="L73" s="109"/>
      <c r="M73" s="109"/>
      <c r="N73" s="110"/>
      <c r="S73" s="16" t="s">
        <v>333</v>
      </c>
      <c r="T73" s="27">
        <f>($D$55/$D$53)</f>
        <v>6</v>
      </c>
      <c r="V73" s="16" t="s">
        <v>334</v>
      </c>
      <c r="W73" s="43">
        <f>(W72^2)</f>
        <v>0.80783208523128391</v>
      </c>
      <c r="X73" s="27">
        <f>SIN(X70)^2</f>
        <v>6.3549957693167056E-2</v>
      </c>
      <c r="Z73" s="16" t="s">
        <v>142</v>
      </c>
      <c r="AB73" s="27">
        <v>4.0278299999999998</v>
      </c>
      <c r="AC73" s="27">
        <v>4.0026032499999999</v>
      </c>
      <c r="AD73" s="27">
        <v>4.0269700000000004</v>
      </c>
    </row>
    <row r="74" spans="1:134" x14ac:dyDescent="0.25">
      <c r="A74" s="2" t="s">
        <v>335</v>
      </c>
      <c r="B74" s="50"/>
      <c r="C74" s="60"/>
      <c r="D74" s="42"/>
      <c r="H74" s="43"/>
      <c r="I74" s="43"/>
      <c r="J74" s="108"/>
      <c r="K74" s="109"/>
      <c r="L74" s="109"/>
      <c r="M74" s="109"/>
      <c r="N74" s="110"/>
      <c r="S74" s="16" t="s">
        <v>336</v>
      </c>
      <c r="T74" s="42" t="e">
        <f>IF(ISERR($W$76)=1,$T$83,$T$84)</f>
        <v>#VALUE!</v>
      </c>
      <c r="Z74" s="16" t="s">
        <v>143</v>
      </c>
      <c r="AB74" s="27">
        <v>5.03627</v>
      </c>
      <c r="AC74" s="27">
        <v>5.0122200000000001</v>
      </c>
      <c r="AD74" s="27">
        <v>5.0125000000000002</v>
      </c>
    </row>
    <row r="75" spans="1:134" x14ac:dyDescent="0.25">
      <c r="A75" s="2" t="s">
        <v>337</v>
      </c>
      <c r="B75" s="50"/>
      <c r="C75" s="60"/>
      <c r="D75" s="42"/>
      <c r="H75" s="43"/>
      <c r="I75" s="43"/>
      <c r="J75" s="108"/>
      <c r="K75" s="109"/>
      <c r="L75" s="109"/>
      <c r="M75" s="109"/>
      <c r="N75" s="110"/>
      <c r="S75" s="16" t="s">
        <v>338</v>
      </c>
      <c r="T75" s="42" t="e">
        <f>$T$74*$D$57</f>
        <v>#VALUE!</v>
      </c>
      <c r="V75" s="16" t="s">
        <v>339</v>
      </c>
      <c r="Z75" s="16" t="s">
        <v>144</v>
      </c>
      <c r="AC75" s="27">
        <v>6.018891</v>
      </c>
      <c r="AD75" s="27">
        <v>6.0151209999999997</v>
      </c>
      <c r="AE75" s="27">
        <v>6.0197269999999996</v>
      </c>
    </row>
    <row r="76" spans="1:134" x14ac:dyDescent="0.25">
      <c r="B76" s="50"/>
      <c r="C76" s="60"/>
      <c r="D76" s="42"/>
      <c r="H76" s="43"/>
      <c r="I76" s="43"/>
      <c r="J76" s="108"/>
      <c r="K76" s="109"/>
      <c r="L76" s="109"/>
      <c r="M76" s="109"/>
      <c r="N76" s="110"/>
      <c r="S76" s="16" t="s">
        <v>340</v>
      </c>
      <c r="T76" s="42">
        <f>4*$D$53*$D$54*$D$57*$W$85/($D$53+$D$54)^2</f>
        <v>38.240946745562134</v>
      </c>
      <c r="V76" s="16" t="s">
        <v>341</v>
      </c>
      <c r="W76" s="54" t="e">
        <v>#VALUE!</v>
      </c>
      <c r="Z76" s="16" t="s">
        <v>145</v>
      </c>
      <c r="AC76" s="27">
        <v>7.0280310000000004</v>
      </c>
      <c r="AD76" s="27">
        <v>7.0160030000000004</v>
      </c>
      <c r="AE76" s="27">
        <v>7.0169299000000001</v>
      </c>
    </row>
    <row r="77" spans="1:134" x14ac:dyDescent="0.25">
      <c r="A77" s="2" t="s">
        <v>342</v>
      </c>
      <c r="B77" s="50"/>
      <c r="C77" s="60"/>
      <c r="D77" s="42"/>
      <c r="H77" s="43"/>
      <c r="I77" s="43"/>
      <c r="J77" s="108"/>
      <c r="K77" s="109"/>
      <c r="L77" s="109"/>
      <c r="M77" s="109"/>
      <c r="N77" s="110"/>
      <c r="V77" s="16" t="s">
        <v>343</v>
      </c>
      <c r="W77" s="43" t="e">
        <v>#VALUE!</v>
      </c>
      <c r="Z77" s="16" t="s">
        <v>146</v>
      </c>
      <c r="AD77" s="27">
        <v>8.0224890000000002</v>
      </c>
      <c r="AE77" s="27">
        <v>8.0053051499999999</v>
      </c>
      <c r="AF77" s="27">
        <v>8.0246075000000001</v>
      </c>
    </row>
    <row r="78" spans="1:134" x14ac:dyDescent="0.25">
      <c r="B78" s="50"/>
      <c r="C78" s="60"/>
      <c r="D78" s="42"/>
      <c r="E78" s="16" t="s">
        <v>344</v>
      </c>
      <c r="H78" s="43"/>
      <c r="I78" s="43"/>
      <c r="J78" s="108"/>
      <c r="K78" s="109"/>
      <c r="L78" s="109"/>
      <c r="M78" s="109"/>
      <c r="N78" s="110"/>
      <c r="V78" s="16" t="s">
        <v>345</v>
      </c>
      <c r="W78" s="43" t="e">
        <f>COS($W$77)</f>
        <v>#VALUE!</v>
      </c>
      <c r="Z78" s="16" t="s">
        <v>147</v>
      </c>
      <c r="AE78" s="27">
        <v>9.0121824999999998</v>
      </c>
      <c r="AF78" s="27">
        <v>9.0133291</v>
      </c>
      <c r="AG78" s="27">
        <v>9.0310380000000006</v>
      </c>
    </row>
    <row r="79" spans="1:134" x14ac:dyDescent="0.25">
      <c r="A79" s="2" t="s">
        <v>346</v>
      </c>
      <c r="B79" s="43"/>
      <c r="C79" s="60"/>
      <c r="D79" s="42"/>
      <c r="H79" s="43"/>
      <c r="I79" s="43"/>
      <c r="J79" s="108"/>
      <c r="K79" s="109"/>
      <c r="L79" s="109"/>
      <c r="M79" s="109"/>
      <c r="N79" s="110"/>
      <c r="V79" s="16" t="s">
        <v>347</v>
      </c>
      <c r="W79" s="43" t="e">
        <f>SIN($W$77)</f>
        <v>#VALUE!</v>
      </c>
      <c r="Z79" s="16" t="s">
        <v>148</v>
      </c>
      <c r="AE79" s="27">
        <v>10.013534699999999</v>
      </c>
      <c r="AF79" s="27">
        <v>10.012938</v>
      </c>
      <c r="AG79" s="27">
        <v>10.0168576</v>
      </c>
    </row>
    <row r="80" spans="1:134" x14ac:dyDescent="0.25">
      <c r="A80" s="2" t="s">
        <v>6</v>
      </c>
      <c r="B80" s="27">
        <f>C8</f>
        <v>2</v>
      </c>
      <c r="C80" s="60"/>
      <c r="D80" s="42"/>
      <c r="E80" s="16" t="s">
        <v>348</v>
      </c>
      <c r="F80" s="23">
        <f>IF(B80&gt;9,0,INDEX($B$111:$J$129,B81,B80))</f>
        <v>1.5040446658818245</v>
      </c>
      <c r="H80" s="43"/>
      <c r="I80" s="43"/>
      <c r="J80" s="108"/>
      <c r="K80" s="109"/>
      <c r="L80" s="109"/>
      <c r="M80" s="109"/>
      <c r="N80" s="110"/>
      <c r="V80" s="16" t="s">
        <v>349</v>
      </c>
      <c r="W80" s="43" t="e">
        <f>($W$79^2)</f>
        <v>#VALUE!</v>
      </c>
      <c r="Z80" s="16" t="s">
        <v>149</v>
      </c>
      <c r="AE80" s="27">
        <v>11.021660000000001</v>
      </c>
      <c r="AF80" s="27">
        <v>11.009305299999999</v>
      </c>
      <c r="AG80" s="27">
        <v>11.0114331</v>
      </c>
      <c r="AH80" s="27">
        <v>11.02708</v>
      </c>
    </row>
    <row r="81" spans="1:41" x14ac:dyDescent="0.25">
      <c r="A81" s="2" t="s">
        <v>7</v>
      </c>
      <c r="B81" s="27">
        <f>D8</f>
        <v>4</v>
      </c>
      <c r="C81" s="60"/>
      <c r="D81" s="42"/>
      <c r="E81" s="16" t="s">
        <v>350</v>
      </c>
      <c r="F81" s="23">
        <f>IF(B80&gt;9,0,INDEX($B$136:$J$154,B81,B80))</f>
        <v>0.43060856564791961</v>
      </c>
      <c r="H81" s="43"/>
      <c r="I81" s="43"/>
      <c r="J81" s="108"/>
      <c r="K81" s="109"/>
      <c r="L81" s="109"/>
      <c r="M81" s="109"/>
      <c r="N81" s="110"/>
      <c r="Z81" s="16" t="s">
        <v>150</v>
      </c>
      <c r="AE81" s="27">
        <v>12.026870000000001</v>
      </c>
      <c r="AF81" s="27">
        <v>12.0143526</v>
      </c>
      <c r="AG81" s="27">
        <v>12</v>
      </c>
      <c r="AH81" s="27">
        <v>12.018613</v>
      </c>
    </row>
    <row r="82" spans="1:41" x14ac:dyDescent="0.25">
      <c r="A82" s="2" t="s">
        <v>351</v>
      </c>
      <c r="B82" s="27" t="e">
        <f>D27</f>
        <v>#NUM!</v>
      </c>
      <c r="C82" s="23" t="s">
        <v>20</v>
      </c>
      <c r="D82" s="42"/>
      <c r="E82" s="16" t="s">
        <v>352</v>
      </c>
      <c r="F82" s="23" t="e">
        <f>10^(LOG(B82)*F80+F81)</f>
        <v>#NUM!</v>
      </c>
      <c r="G82" s="23" t="s">
        <v>353</v>
      </c>
      <c r="H82" s="43"/>
      <c r="I82" s="43"/>
      <c r="J82" s="108"/>
      <c r="K82" s="109"/>
      <c r="L82" s="109"/>
      <c r="M82" s="109"/>
      <c r="N82" s="110"/>
      <c r="V82" s="16" t="s">
        <v>354</v>
      </c>
      <c r="Z82" s="16" t="s">
        <v>151</v>
      </c>
      <c r="AG82" s="27">
        <v>13.003354839</v>
      </c>
      <c r="AH82" s="27">
        <v>13.0057387</v>
      </c>
    </row>
    <row r="83" spans="1:41" x14ac:dyDescent="0.25">
      <c r="B83" s="50"/>
      <c r="C83" s="60"/>
      <c r="D83" s="42"/>
      <c r="E83" s="16" t="s">
        <v>2</v>
      </c>
      <c r="F83" s="23" t="e">
        <f>F82-B84</f>
        <v>#NUM!</v>
      </c>
      <c r="G83" s="23" t="s">
        <v>353</v>
      </c>
      <c r="H83" s="43"/>
      <c r="I83" s="43"/>
      <c r="J83" s="108"/>
      <c r="K83" s="109"/>
      <c r="L83" s="109"/>
      <c r="M83" s="109"/>
      <c r="N83" s="110"/>
      <c r="S83" s="16" t="s">
        <v>355</v>
      </c>
      <c r="T83" s="42">
        <f>(($W$86+($T$73^2-$W$87)^0.5)/(1+$T$73))^2</f>
        <v>0.95624811405314247</v>
      </c>
      <c r="V83" s="16" t="s">
        <v>356</v>
      </c>
      <c r="W83" s="27">
        <f>D56</f>
        <v>116</v>
      </c>
      <c r="Z83" s="16" t="s">
        <v>152</v>
      </c>
      <c r="AG83" s="27">
        <v>14.003241993</v>
      </c>
      <c r="AH83" s="27">
        <v>14.003074008</v>
      </c>
      <c r="AI83" s="27">
        <v>14.008597200000001</v>
      </c>
    </row>
    <row r="84" spans="1:41" x14ac:dyDescent="0.25">
      <c r="A84" s="2" t="s">
        <v>357</v>
      </c>
      <c r="B84" s="27">
        <f>D11</f>
        <v>1E-4</v>
      </c>
      <c r="C84" s="23" t="s">
        <v>353</v>
      </c>
      <c r="D84" s="42"/>
      <c r="H84" s="43"/>
      <c r="I84" s="43"/>
      <c r="J84" s="108"/>
      <c r="K84" s="109"/>
      <c r="L84" s="109"/>
      <c r="M84" s="109"/>
      <c r="N84" s="110"/>
      <c r="S84" s="16" t="s">
        <v>358</v>
      </c>
      <c r="T84" s="42" t="e">
        <f>(($W$78+($T$73^2-$W$80)^0.5)/(1+$T$73))^2</f>
        <v>#VALUE!</v>
      </c>
      <c r="V84" s="16" t="s">
        <v>359</v>
      </c>
      <c r="W84" s="27">
        <v>0.5</v>
      </c>
      <c r="Z84" s="16" t="s">
        <v>153</v>
      </c>
      <c r="AH84" s="27">
        <v>15.000108978</v>
      </c>
      <c r="AI84" s="27">
        <v>15.003065400000001</v>
      </c>
      <c r="AJ84" s="27">
        <v>15.01895</v>
      </c>
    </row>
    <row r="85" spans="1:41" x14ac:dyDescent="0.25">
      <c r="B85" s="50"/>
      <c r="C85" s="60"/>
      <c r="D85" s="42"/>
      <c r="H85" s="43"/>
      <c r="I85" s="43"/>
      <c r="J85" s="108"/>
      <c r="K85" s="109"/>
      <c r="L85" s="109"/>
      <c r="M85" s="109"/>
      <c r="N85" s="110"/>
      <c r="V85" s="16" t="s">
        <v>360</v>
      </c>
      <c r="W85" s="27">
        <v>0.75</v>
      </c>
      <c r="Z85" s="16" t="s">
        <v>154</v>
      </c>
      <c r="AH85" s="27">
        <v>16.0060994</v>
      </c>
      <c r="AI85" s="27">
        <v>15.994914639999999</v>
      </c>
      <c r="AJ85" s="27">
        <v>16.011479000000001</v>
      </c>
    </row>
    <row r="86" spans="1:41" x14ac:dyDescent="0.25">
      <c r="A86" s="2" t="s">
        <v>361</v>
      </c>
      <c r="B86" s="27" t="e">
        <f>10^((LOG(F83)-F81)/F80)</f>
        <v>#NUM!</v>
      </c>
      <c r="C86" s="23" t="s">
        <v>20</v>
      </c>
      <c r="D86" s="42"/>
      <c r="H86" s="43"/>
      <c r="I86" s="43"/>
      <c r="J86" s="108"/>
      <c r="K86" s="109"/>
      <c r="L86" s="109"/>
      <c r="M86" s="109"/>
      <c r="N86" s="110"/>
      <c r="S86" s="23" t="s">
        <v>362</v>
      </c>
      <c r="V86" s="16" t="s">
        <v>363</v>
      </c>
      <c r="W86" s="27">
        <v>0.8660254037844386</v>
      </c>
      <c r="Z86" s="16" t="s">
        <v>155</v>
      </c>
      <c r="AI86" s="27">
        <v>16.999130600000001</v>
      </c>
      <c r="AJ86" s="27">
        <v>17.002095180000001</v>
      </c>
    </row>
    <row r="87" spans="1:41" x14ac:dyDescent="0.25">
      <c r="B87" s="50"/>
      <c r="C87" s="60"/>
      <c r="D87" s="42"/>
      <c r="H87" s="43"/>
      <c r="I87" s="43"/>
      <c r="J87" s="108"/>
      <c r="K87" s="109"/>
      <c r="L87" s="109"/>
      <c r="M87" s="109"/>
      <c r="N87" s="110"/>
      <c r="S87" s="23" t="s">
        <v>364</v>
      </c>
      <c r="V87" s="16" t="s">
        <v>365</v>
      </c>
      <c r="W87" s="27">
        <f>(W84^2)</f>
        <v>0.25</v>
      </c>
      <c r="Z87" s="16" t="s">
        <v>156</v>
      </c>
      <c r="AI87" s="27">
        <v>17.999159389999999</v>
      </c>
      <c r="AJ87" s="27">
        <v>18.000936599999999</v>
      </c>
      <c r="AK87" s="27">
        <v>18.005710000000001</v>
      </c>
    </row>
    <row r="88" spans="1:41" x14ac:dyDescent="0.25">
      <c r="A88" s="2" t="s">
        <v>366</v>
      </c>
      <c r="B88" s="43"/>
      <c r="C88" s="60"/>
      <c r="D88" s="42"/>
      <c r="J88" s="109"/>
      <c r="K88" s="109"/>
      <c r="L88" s="109"/>
      <c r="M88" s="109"/>
      <c r="N88" s="110"/>
      <c r="Z88" s="16" t="s">
        <v>157</v>
      </c>
      <c r="AI88" s="27">
        <v>19.0035764</v>
      </c>
      <c r="AJ88" s="27">
        <v>18.998403249999999</v>
      </c>
      <c r="AK88" s="27">
        <v>19.0018797</v>
      </c>
    </row>
    <row r="89" spans="1:41" x14ac:dyDescent="0.25">
      <c r="A89" s="2" t="s">
        <v>6</v>
      </c>
      <c r="B89" s="27">
        <f>C53</f>
        <v>6</v>
      </c>
      <c r="C89" s="60"/>
      <c r="D89" s="42"/>
      <c r="E89" s="16" t="s">
        <v>348</v>
      </c>
      <c r="F89" s="23">
        <f>IF(B89&gt;9,0,INDEX($B$111:$J$129,B90,B89))</f>
        <v>0.9860379051542888</v>
      </c>
      <c r="J89" s="109"/>
      <c r="K89" s="109"/>
      <c r="L89" s="109"/>
      <c r="M89" s="109"/>
      <c r="N89" s="110"/>
      <c r="Z89" s="16" t="s">
        <v>158</v>
      </c>
      <c r="AJ89" s="27">
        <v>19.999981699999999</v>
      </c>
      <c r="AK89" s="27">
        <v>19.992439099999999</v>
      </c>
      <c r="AL89" s="27">
        <v>20.007346999999999</v>
      </c>
    </row>
    <row r="90" spans="1:41" x14ac:dyDescent="0.25">
      <c r="A90" s="2" t="s">
        <v>7</v>
      </c>
      <c r="B90" s="27">
        <f>D53</f>
        <v>12</v>
      </c>
      <c r="C90" s="60"/>
      <c r="D90" s="42"/>
      <c r="E90" s="16" t="s">
        <v>350</v>
      </c>
      <c r="F90" s="23">
        <f>IF(B89&gt;9,0,INDEX($B$136:$J$154,B90,B89))</f>
        <v>5.5961469181884826E-2</v>
      </c>
      <c r="J90" s="109"/>
      <c r="K90" s="109"/>
      <c r="L90" s="109"/>
      <c r="M90" s="109"/>
      <c r="N90" s="110"/>
      <c r="Z90" s="16" t="s">
        <v>159</v>
      </c>
      <c r="AK90" s="27">
        <v>20.9938453</v>
      </c>
      <c r="AL90" s="27">
        <v>20.997653499999998</v>
      </c>
    </row>
    <row r="91" spans="1:41" x14ac:dyDescent="0.25">
      <c r="A91" s="2" t="s">
        <v>351</v>
      </c>
      <c r="B91" s="27">
        <f>D66</f>
        <v>110.58159750092615</v>
      </c>
      <c r="C91" s="23" t="s">
        <v>20</v>
      </c>
      <c r="D91" s="42"/>
      <c r="E91" s="16" t="s">
        <v>352</v>
      </c>
      <c r="F91" s="23">
        <f>10^(LOG(B91)*F89+F90)</f>
        <v>117.79049175240417</v>
      </c>
      <c r="G91" s="23" t="s">
        <v>353</v>
      </c>
      <c r="J91" s="109"/>
      <c r="K91" s="109"/>
      <c r="L91" s="109"/>
      <c r="M91" s="109"/>
      <c r="N91" s="110"/>
      <c r="Z91" s="16" t="s">
        <v>160</v>
      </c>
      <c r="AK91" s="27">
        <v>21.9913837</v>
      </c>
      <c r="AL91" s="27">
        <v>21.994436</v>
      </c>
      <c r="AM91" s="27">
        <v>21.999576900000001</v>
      </c>
    </row>
    <row r="92" spans="1:41" x14ac:dyDescent="0.25">
      <c r="B92" s="50"/>
      <c r="C92" s="60"/>
      <c r="D92" s="42"/>
      <c r="E92" s="16" t="s">
        <v>2</v>
      </c>
      <c r="F92" s="23">
        <f>F91-B93</f>
        <v>117.79039175240416</v>
      </c>
      <c r="G92" s="23" t="s">
        <v>353</v>
      </c>
      <c r="J92" s="109"/>
      <c r="K92" s="109"/>
      <c r="L92" s="109"/>
      <c r="M92" s="109"/>
      <c r="N92" s="110"/>
      <c r="Z92" s="16" t="s">
        <v>161</v>
      </c>
      <c r="AK92" s="27">
        <v>22.9944658</v>
      </c>
      <c r="AL92" s="27">
        <v>22.989768000000002</v>
      </c>
      <c r="AM92" s="27">
        <v>22.994125</v>
      </c>
    </row>
    <row r="93" spans="1:41" x14ac:dyDescent="0.25">
      <c r="A93" s="2" t="s">
        <v>357</v>
      </c>
      <c r="B93" s="27">
        <f>B84</f>
        <v>1E-4</v>
      </c>
      <c r="C93" s="23" t="s">
        <v>353</v>
      </c>
      <c r="D93" s="42"/>
      <c r="J93" s="109"/>
      <c r="K93" s="109"/>
      <c r="L93" s="109"/>
      <c r="M93" s="109"/>
      <c r="N93" s="110"/>
      <c r="Z93" s="16" t="s">
        <v>162</v>
      </c>
      <c r="AL93" s="27">
        <v>23.990964000000002</v>
      </c>
      <c r="AM93" s="27">
        <v>23.985042</v>
      </c>
      <c r="AN93" s="27">
        <v>23.999943999999999</v>
      </c>
    </row>
    <row r="94" spans="1:41" x14ac:dyDescent="0.25">
      <c r="B94" s="50"/>
      <c r="C94" s="60"/>
      <c r="D94" s="42"/>
      <c r="J94" s="109"/>
      <c r="K94" s="109"/>
      <c r="L94" s="109"/>
      <c r="M94" s="109"/>
      <c r="N94" s="110"/>
      <c r="Z94" s="16" t="s">
        <v>163</v>
      </c>
      <c r="AM94" s="27">
        <v>24.985838000000001</v>
      </c>
      <c r="AN94" s="27">
        <v>24.990431699999998</v>
      </c>
    </row>
    <row r="95" spans="1:41" x14ac:dyDescent="0.25">
      <c r="A95" s="2" t="s">
        <v>361</v>
      </c>
      <c r="B95" s="27">
        <f>10^((LOG(F92)-F90)/F89)</f>
        <v>110.58150229170523</v>
      </c>
      <c r="C95" s="23" t="s">
        <v>20</v>
      </c>
      <c r="D95" s="42"/>
      <c r="J95" s="109"/>
      <c r="K95" s="109"/>
      <c r="L95" s="109"/>
      <c r="M95" s="109"/>
      <c r="N95" s="110"/>
      <c r="Z95" s="16" t="s">
        <v>164</v>
      </c>
      <c r="AM95" s="27">
        <v>25.982593999999999</v>
      </c>
      <c r="AN95" s="27">
        <v>25.986893999999999</v>
      </c>
      <c r="AO95" s="27">
        <v>25.9923316</v>
      </c>
    </row>
    <row r="96" spans="1:41" x14ac:dyDescent="0.25">
      <c r="A96" s="12"/>
      <c r="F96" s="15"/>
      <c r="J96" s="109"/>
      <c r="K96" s="109"/>
      <c r="L96" s="109"/>
      <c r="M96" s="109"/>
      <c r="N96" s="110"/>
      <c r="Z96" s="16" t="s">
        <v>165</v>
      </c>
      <c r="AM96" s="27">
        <v>26.984342999999999</v>
      </c>
      <c r="AN96" s="27">
        <v>26.981539000000001</v>
      </c>
      <c r="AO96" s="27">
        <v>26.986704</v>
      </c>
    </row>
    <row r="97" spans="1:49" x14ac:dyDescent="0.25">
      <c r="A97" s="12"/>
      <c r="F97" s="15"/>
      <c r="J97" s="109"/>
      <c r="K97" s="109"/>
      <c r="L97" s="109"/>
      <c r="M97" s="109"/>
      <c r="N97" s="110"/>
      <c r="Z97" s="16" t="s">
        <v>166</v>
      </c>
      <c r="AN97" s="27">
        <v>27.9819122</v>
      </c>
      <c r="AO97" s="27">
        <v>27.976927</v>
      </c>
      <c r="AP97" s="27">
        <v>27.992314</v>
      </c>
    </row>
    <row r="98" spans="1:49" x14ac:dyDescent="0.25">
      <c r="A98" s="12"/>
      <c r="F98" s="15"/>
      <c r="J98" s="109"/>
      <c r="K98" s="109"/>
      <c r="L98" s="109"/>
      <c r="M98" s="109"/>
      <c r="N98" s="110"/>
      <c r="Z98" s="16" t="s">
        <v>167</v>
      </c>
      <c r="AO98" s="27">
        <v>28.976495</v>
      </c>
      <c r="AP98" s="27">
        <v>28.981804400000001</v>
      </c>
    </row>
    <row r="99" spans="1:49" x14ac:dyDescent="0.25">
      <c r="A99" s="2" t="s">
        <v>367</v>
      </c>
      <c r="B99" s="43"/>
      <c r="C99" s="60"/>
      <c r="D99" s="42"/>
      <c r="J99" s="109"/>
      <c r="K99" s="109"/>
      <c r="L99" s="109"/>
      <c r="M99" s="109"/>
      <c r="N99" s="110"/>
      <c r="Z99" s="16" t="s">
        <v>168</v>
      </c>
      <c r="AO99" s="27">
        <v>29.973769999999998</v>
      </c>
      <c r="AP99" s="27">
        <v>29.97831</v>
      </c>
      <c r="AQ99" s="27">
        <v>29.984903899999999</v>
      </c>
    </row>
    <row r="100" spans="1:49" x14ac:dyDescent="0.25">
      <c r="A100" s="2" t="s">
        <v>6</v>
      </c>
      <c r="B100" s="27">
        <f>C54</f>
        <v>0</v>
      </c>
      <c r="C100" s="60"/>
      <c r="D100" s="42"/>
      <c r="E100" s="16" t="s">
        <v>348</v>
      </c>
      <c r="F100" s="23">
        <f>IF(B100&gt;9,0,INDEX($B$111:$J$129,B101,B100))</f>
        <v>0</v>
      </c>
      <c r="J100" s="109"/>
      <c r="K100" s="109"/>
      <c r="L100" s="109"/>
      <c r="M100" s="109"/>
      <c r="N100" s="110"/>
      <c r="Z100" s="16" t="s">
        <v>169</v>
      </c>
      <c r="AO100" s="27">
        <v>30.975365</v>
      </c>
      <c r="AP100" s="27">
        <v>30.973762000000001</v>
      </c>
      <c r="AQ100" s="27">
        <v>30.979600000000001</v>
      </c>
    </row>
    <row r="101" spans="1:49" x14ac:dyDescent="0.25">
      <c r="A101" s="2" t="s">
        <v>7</v>
      </c>
      <c r="B101" s="27">
        <f>D54</f>
        <v>1</v>
      </c>
      <c r="C101" s="60"/>
      <c r="D101" s="42"/>
      <c r="E101" s="16" t="s">
        <v>350</v>
      </c>
      <c r="F101" s="23">
        <f>IF(B100&gt;9,0,INDEX($B$136:$J$154,B101,B100))</f>
        <v>0</v>
      </c>
      <c r="J101" s="109"/>
      <c r="K101" s="109"/>
      <c r="L101" s="109"/>
      <c r="M101" s="109"/>
      <c r="N101" s="110"/>
      <c r="Z101" s="16" t="s">
        <v>170</v>
      </c>
      <c r="AP101" s="27">
        <v>31.973908699999999</v>
      </c>
      <c r="AQ101" s="27">
        <v>31.972071</v>
      </c>
      <c r="AR101" s="27">
        <v>31.985690999999999</v>
      </c>
    </row>
    <row r="102" spans="1:49" x14ac:dyDescent="0.25">
      <c r="A102" s="2" t="s">
        <v>351</v>
      </c>
      <c r="B102" s="27">
        <f>D61</f>
        <v>38.240946745562134</v>
      </c>
      <c r="C102" s="23" t="s">
        <v>20</v>
      </c>
      <c r="D102" s="42"/>
      <c r="E102" s="16" t="s">
        <v>352</v>
      </c>
      <c r="F102" s="23">
        <f>10^(LOG(B102)*F100+F101)</f>
        <v>1</v>
      </c>
      <c r="G102" s="23" t="s">
        <v>353</v>
      </c>
      <c r="J102" s="109"/>
      <c r="K102" s="109"/>
      <c r="L102" s="109"/>
      <c r="M102" s="109"/>
      <c r="N102" s="110"/>
      <c r="Z102" s="16" t="s">
        <v>171</v>
      </c>
      <c r="AP102" s="27">
        <v>32.971726400000001</v>
      </c>
      <c r="AQ102" s="27">
        <v>32.971459000000003</v>
      </c>
      <c r="AR102" s="27">
        <v>32.977452599999999</v>
      </c>
    </row>
    <row r="103" spans="1:49" x14ac:dyDescent="0.25">
      <c r="B103" s="50"/>
      <c r="C103" s="60"/>
      <c r="D103" s="42"/>
      <c r="E103" s="16" t="s">
        <v>2</v>
      </c>
      <c r="F103" s="23">
        <f>F102-B104</f>
        <v>0.99990000000000001</v>
      </c>
      <c r="G103" s="23" t="s">
        <v>353</v>
      </c>
      <c r="J103" s="109"/>
      <c r="K103" s="109"/>
      <c r="L103" s="109"/>
      <c r="M103" s="109"/>
      <c r="N103" s="110"/>
      <c r="Z103" s="16" t="s">
        <v>172</v>
      </c>
      <c r="AQ103" s="27">
        <v>33.967866700000002</v>
      </c>
      <c r="AR103" s="27">
        <v>33.973765</v>
      </c>
      <c r="AS103" s="27">
        <v>33.980269300000003</v>
      </c>
    </row>
    <row r="104" spans="1:49" x14ac:dyDescent="0.25">
      <c r="A104" s="2" t="s">
        <v>357</v>
      </c>
      <c r="B104" s="27">
        <f>D58</f>
        <v>1E-4</v>
      </c>
      <c r="C104" s="23" t="s">
        <v>353</v>
      </c>
      <c r="D104" s="42"/>
      <c r="Z104" s="16" t="s">
        <v>173</v>
      </c>
      <c r="AQ104" s="27">
        <v>34.9690333</v>
      </c>
      <c r="AR104" s="27">
        <v>34.968852699999999</v>
      </c>
      <c r="AS104" s="27">
        <v>34.975256199999997</v>
      </c>
    </row>
    <row r="105" spans="1:49" x14ac:dyDescent="0.25">
      <c r="B105" s="50"/>
      <c r="C105" s="60"/>
      <c r="D105" s="42"/>
      <c r="Z105" s="16" t="s">
        <v>174</v>
      </c>
      <c r="AQ105" s="27">
        <v>35.967080600000003</v>
      </c>
      <c r="AR105" s="27">
        <v>35.968307000000003</v>
      </c>
      <c r="AS105" s="27">
        <v>35.967545604999998</v>
      </c>
      <c r="AT105" s="27">
        <v>35.981293000000001</v>
      </c>
    </row>
    <row r="106" spans="1:49" x14ac:dyDescent="0.25">
      <c r="A106" s="2" t="s">
        <v>361</v>
      </c>
      <c r="B106" s="27" t="e">
        <f>10^((LOG(F103)-F101)/F100)</f>
        <v>#DIV/0!</v>
      </c>
      <c r="C106" s="23" t="s">
        <v>20</v>
      </c>
      <c r="D106" s="42"/>
      <c r="Z106" s="16" t="s">
        <v>175</v>
      </c>
      <c r="AR106" s="27">
        <v>36.9659026</v>
      </c>
      <c r="AS106" s="27">
        <v>36.966776299999999</v>
      </c>
      <c r="AT106" s="27">
        <v>36.973370000000003</v>
      </c>
    </row>
    <row r="107" spans="1:49" x14ac:dyDescent="0.25">
      <c r="Z107" s="16" t="s">
        <v>176</v>
      </c>
      <c r="AR107" s="27">
        <v>37.968009000000002</v>
      </c>
      <c r="AS107" s="27">
        <v>37.962732199999998</v>
      </c>
      <c r="AT107" s="27">
        <v>37.969080099999999</v>
      </c>
      <c r="AU107" s="27">
        <v>37.976317999999999</v>
      </c>
    </row>
    <row r="108" spans="1:49" x14ac:dyDescent="0.25">
      <c r="A108" s="2" t="s">
        <v>368</v>
      </c>
      <c r="B108" s="50"/>
      <c r="C108" s="60"/>
      <c r="D108" s="42"/>
      <c r="H108" s="43"/>
      <c r="I108" s="43"/>
      <c r="J108" s="43"/>
      <c r="Z108" s="16" t="s">
        <v>177</v>
      </c>
      <c r="AS108" s="27">
        <v>38.964314999999999</v>
      </c>
      <c r="AT108" s="27">
        <v>38.963707900000003</v>
      </c>
      <c r="AU108" s="27">
        <v>38.970711000000001</v>
      </c>
    </row>
    <row r="109" spans="1:49" x14ac:dyDescent="0.25">
      <c r="A109" s="2" t="s">
        <v>12</v>
      </c>
      <c r="B109" s="23" t="s">
        <v>369</v>
      </c>
      <c r="C109" s="60"/>
      <c r="D109" s="42"/>
      <c r="H109" s="43"/>
      <c r="I109" s="43"/>
      <c r="J109" s="43"/>
      <c r="Z109" s="16" t="s">
        <v>178</v>
      </c>
      <c r="AS109" s="27">
        <v>39.962383099999997</v>
      </c>
      <c r="AT109" s="27">
        <v>39.963998799999999</v>
      </c>
      <c r="AU109" s="27">
        <v>39.9625907</v>
      </c>
      <c r="AV109" s="27">
        <v>39.977963000000003</v>
      </c>
    </row>
    <row r="110" spans="1:49" x14ac:dyDescent="0.25">
      <c r="A110" s="2" t="s">
        <v>348</v>
      </c>
      <c r="B110" s="27">
        <v>1</v>
      </c>
      <c r="C110" s="27">
        <v>2</v>
      </c>
      <c r="D110" s="27">
        <v>3</v>
      </c>
      <c r="E110" s="27">
        <v>4</v>
      </c>
      <c r="F110" s="23">
        <v>5</v>
      </c>
      <c r="G110" s="27">
        <v>6</v>
      </c>
      <c r="H110" s="27">
        <v>7</v>
      </c>
      <c r="I110" s="27">
        <v>8</v>
      </c>
      <c r="J110" s="27">
        <v>9</v>
      </c>
      <c r="Z110" s="16" t="s">
        <v>179</v>
      </c>
      <c r="AS110" s="27">
        <v>40.964500600000001</v>
      </c>
      <c r="AT110" s="27">
        <v>40.961825400000002</v>
      </c>
      <c r="AU110" s="27">
        <v>40.962279199999998</v>
      </c>
      <c r="AV110" s="27">
        <v>40.969250199999998</v>
      </c>
    </row>
    <row r="111" spans="1:49" x14ac:dyDescent="0.25">
      <c r="A111" s="2">
        <v>1</v>
      </c>
      <c r="B111" s="27">
        <v>1.6694520282906096</v>
      </c>
      <c r="C111" s="60"/>
      <c r="D111" s="42"/>
      <c r="H111" s="43"/>
      <c r="I111" s="43"/>
      <c r="J111" s="43"/>
      <c r="Z111" s="16" t="s">
        <v>180</v>
      </c>
      <c r="AT111" s="27">
        <v>41.962401800000002</v>
      </c>
      <c r="AU111" s="27">
        <v>41.958618000000001</v>
      </c>
      <c r="AV111" s="27">
        <v>41.965517300000002</v>
      </c>
      <c r="AW111" s="27">
        <v>41.973030999999999</v>
      </c>
    </row>
    <row r="112" spans="1:49" x14ac:dyDescent="0.25">
      <c r="A112" s="2">
        <v>2</v>
      </c>
      <c r="B112" s="27">
        <v>1.6212553266223282</v>
      </c>
      <c r="C112" s="60"/>
      <c r="D112" s="42"/>
      <c r="H112" s="43"/>
      <c r="I112" s="43"/>
      <c r="J112" s="43"/>
      <c r="Z112" s="16" t="s">
        <v>181</v>
      </c>
      <c r="AT112" s="27">
        <v>42.960720999999999</v>
      </c>
      <c r="AU112" s="27">
        <v>42.958767000000002</v>
      </c>
      <c r="AV112" s="27">
        <v>42.961154100000002</v>
      </c>
      <c r="AW112" s="27">
        <v>42.968519000000001</v>
      </c>
    </row>
    <row r="113" spans="1:56" x14ac:dyDescent="0.25">
      <c r="A113" s="2">
        <v>3</v>
      </c>
      <c r="B113" s="27">
        <v>1.5526328490769452</v>
      </c>
      <c r="C113" s="27">
        <v>1.5121279892299686</v>
      </c>
      <c r="D113" s="42"/>
      <c r="H113" s="43"/>
      <c r="I113" s="43"/>
      <c r="J113" s="43"/>
      <c r="Z113" s="16" t="s">
        <v>182</v>
      </c>
      <c r="AT113" s="27">
        <v>43.961559999999999</v>
      </c>
      <c r="AU113" s="27">
        <v>43.955480999999999</v>
      </c>
      <c r="AV113" s="27">
        <v>43.959408799999999</v>
      </c>
      <c r="AW113" s="27">
        <v>43.959692799999999</v>
      </c>
    </row>
    <row r="114" spans="1:56" x14ac:dyDescent="0.25">
      <c r="A114" s="2">
        <v>4</v>
      </c>
      <c r="B114" s="50"/>
      <c r="C114" s="27">
        <v>1.5040446658818245</v>
      </c>
      <c r="D114" s="42"/>
      <c r="H114" s="43"/>
      <c r="I114" s="43"/>
      <c r="J114" s="43"/>
      <c r="Z114" s="16" t="s">
        <v>183</v>
      </c>
      <c r="AT114" s="27">
        <v>44.960697000000003</v>
      </c>
      <c r="AU114" s="27">
        <v>44.956192999999999</v>
      </c>
      <c r="AV114" s="27">
        <v>44.955910000000003</v>
      </c>
      <c r="AW114" s="27">
        <v>44.958127900000001</v>
      </c>
    </row>
    <row r="115" spans="1:56" x14ac:dyDescent="0.25">
      <c r="A115" s="2">
        <v>5</v>
      </c>
      <c r="B115" s="50"/>
      <c r="C115" s="60"/>
      <c r="D115" s="42"/>
      <c r="H115" s="43"/>
      <c r="I115" s="43"/>
      <c r="J115" s="43"/>
      <c r="Z115" s="16" t="s">
        <v>184</v>
      </c>
      <c r="AU115" s="27">
        <v>45.953690000000002</v>
      </c>
      <c r="AV115" s="27">
        <v>45.955173899999998</v>
      </c>
      <c r="AW115" s="27">
        <v>45.952632700000002</v>
      </c>
      <c r="AX115" s="27">
        <v>45.960203200000002</v>
      </c>
    </row>
    <row r="116" spans="1:56" x14ac:dyDescent="0.25">
      <c r="A116" s="2">
        <v>6</v>
      </c>
      <c r="B116" s="50"/>
      <c r="C116" s="60"/>
      <c r="D116" s="42"/>
      <c r="H116" s="43"/>
      <c r="I116" s="43"/>
      <c r="J116" s="43"/>
      <c r="Z116" s="16" t="s">
        <v>185</v>
      </c>
      <c r="AU116" s="27">
        <v>46.954543000000001</v>
      </c>
      <c r="AV116" s="27">
        <v>46.952409600000003</v>
      </c>
      <c r="AW116" s="27">
        <v>46.951764900000001</v>
      </c>
      <c r="AX116" s="27">
        <v>46.954910400000003</v>
      </c>
    </row>
    <row r="117" spans="1:56" x14ac:dyDescent="0.25">
      <c r="A117" s="2">
        <v>7</v>
      </c>
      <c r="B117" s="50"/>
      <c r="C117" s="60"/>
      <c r="D117" s="27">
        <v>1.2991330348645937</v>
      </c>
      <c r="H117" s="43"/>
      <c r="I117" s="43"/>
      <c r="J117" s="43"/>
      <c r="Z117" s="16" t="s">
        <v>186</v>
      </c>
      <c r="AU117" s="27">
        <v>47.952534</v>
      </c>
      <c r="AV117" s="27">
        <v>47.95223</v>
      </c>
      <c r="AW117" s="27">
        <v>47.947946700000003</v>
      </c>
      <c r="AX117" s="27">
        <v>47.952256900000002</v>
      </c>
      <c r="AY117" s="27">
        <v>47.954033000000003</v>
      </c>
    </row>
    <row r="118" spans="1:56" x14ac:dyDescent="0.25">
      <c r="A118" s="2">
        <v>8</v>
      </c>
      <c r="B118" s="50"/>
      <c r="C118" s="60"/>
      <c r="D118" s="42"/>
      <c r="H118" s="43"/>
      <c r="I118" s="43"/>
      <c r="J118" s="43"/>
      <c r="Z118" s="16" t="s">
        <v>187</v>
      </c>
      <c r="AV118" s="27">
        <v>48.950021999999997</v>
      </c>
      <c r="AW118" s="27">
        <v>48.947870500000001</v>
      </c>
      <c r="AX118" s="27">
        <v>48.948516599999998</v>
      </c>
      <c r="AY118" s="27">
        <v>48.951337700000003</v>
      </c>
    </row>
    <row r="119" spans="1:56" x14ac:dyDescent="0.25">
      <c r="A119" s="2">
        <v>9</v>
      </c>
      <c r="B119" s="50"/>
      <c r="C119" s="60"/>
      <c r="D119" s="42"/>
      <c r="E119" s="27">
        <v>1.1641836090425788</v>
      </c>
      <c r="H119" s="43"/>
      <c r="I119" s="43"/>
      <c r="J119" s="43"/>
      <c r="Z119" s="16" t="s">
        <v>188</v>
      </c>
      <c r="AV119" s="27">
        <v>49.952185999999998</v>
      </c>
      <c r="AW119" s="27">
        <v>49.944785799999998</v>
      </c>
      <c r="AX119" s="27">
        <v>49.947161299999998</v>
      </c>
      <c r="AY119" s="27">
        <v>49.946046299999999</v>
      </c>
      <c r="AZ119" s="27">
        <v>49.954239800000003</v>
      </c>
    </row>
    <row r="120" spans="1:56" x14ac:dyDescent="0.25">
      <c r="A120" s="2">
        <v>10</v>
      </c>
      <c r="B120" s="50"/>
      <c r="C120" s="60"/>
      <c r="D120" s="42"/>
      <c r="H120" s="43"/>
      <c r="I120" s="43"/>
      <c r="J120" s="43"/>
      <c r="Z120" s="16" t="s">
        <v>189</v>
      </c>
      <c r="AX120" s="27">
        <v>50.943962499999998</v>
      </c>
      <c r="AY120" s="27">
        <v>50.944769000000001</v>
      </c>
      <c r="AZ120" s="27">
        <v>50.948212900000001</v>
      </c>
    </row>
    <row r="121" spans="1:56" x14ac:dyDescent="0.25">
      <c r="A121" s="2">
        <v>11</v>
      </c>
      <c r="B121" s="50"/>
      <c r="C121" s="60"/>
      <c r="D121" s="42"/>
      <c r="F121" s="23">
        <v>1.0394207257924954</v>
      </c>
      <c r="H121" s="43"/>
      <c r="I121" s="43"/>
      <c r="J121" s="43"/>
      <c r="Z121" s="16" t="s">
        <v>190</v>
      </c>
      <c r="AX121" s="27">
        <v>51.944778599999999</v>
      </c>
      <c r="AY121" s="27">
        <v>51.9405097</v>
      </c>
      <c r="AZ121" s="27">
        <v>51.945567199999999</v>
      </c>
      <c r="BA121" s="27">
        <v>51.948113999999997</v>
      </c>
    </row>
    <row r="122" spans="1:56" x14ac:dyDescent="0.25">
      <c r="A122" s="2">
        <v>12</v>
      </c>
      <c r="B122" s="50"/>
      <c r="C122" s="60"/>
      <c r="D122" s="42"/>
      <c r="G122" s="27">
        <v>0.9860379051542888</v>
      </c>
      <c r="H122" s="43"/>
      <c r="I122" s="43"/>
      <c r="J122" s="43"/>
      <c r="Z122" s="16" t="s">
        <v>191</v>
      </c>
      <c r="AY122" s="27">
        <v>52.940651000000003</v>
      </c>
      <c r="AZ122" s="27">
        <v>52.941291200000002</v>
      </c>
      <c r="BA122" s="27">
        <v>52.9453095</v>
      </c>
    </row>
    <row r="123" spans="1:56" x14ac:dyDescent="0.25">
      <c r="A123" s="2">
        <v>13</v>
      </c>
      <c r="B123" s="50"/>
      <c r="C123" s="60"/>
      <c r="D123" s="42"/>
      <c r="H123" s="43"/>
      <c r="I123" s="43"/>
      <c r="J123" s="43"/>
      <c r="Z123" s="16" t="s">
        <v>192</v>
      </c>
      <c r="AY123" s="27">
        <v>53.938882200000002</v>
      </c>
      <c r="AZ123" s="27">
        <v>53.940360499999997</v>
      </c>
      <c r="BA123" s="27">
        <v>53.939612099999998</v>
      </c>
      <c r="BB123" s="27">
        <v>53.948459999999997</v>
      </c>
    </row>
    <row r="124" spans="1:56" x14ac:dyDescent="0.25">
      <c r="A124" s="2">
        <v>14</v>
      </c>
      <c r="B124" s="50"/>
      <c r="C124" s="60"/>
      <c r="D124" s="42"/>
      <c r="H124" s="27">
        <v>0.92047940805848538</v>
      </c>
      <c r="I124" s="43"/>
      <c r="J124" s="43"/>
      <c r="Z124" s="16" t="s">
        <v>193</v>
      </c>
      <c r="AY124" s="27">
        <v>54.940841499999998</v>
      </c>
      <c r="AZ124" s="27">
        <v>54.938046300000003</v>
      </c>
      <c r="BA124" s="27">
        <v>54.9382947</v>
      </c>
      <c r="BB124" s="27">
        <v>54.942003399999997</v>
      </c>
    </row>
    <row r="125" spans="1:56" x14ac:dyDescent="0.25">
      <c r="A125" s="2">
        <v>15</v>
      </c>
      <c r="B125" s="50"/>
      <c r="C125" s="60"/>
      <c r="D125" s="42"/>
      <c r="H125" s="43"/>
      <c r="I125" s="43"/>
      <c r="J125" s="43"/>
      <c r="Z125" s="16" t="s">
        <v>194</v>
      </c>
      <c r="AZ125" s="27">
        <v>55.9389064</v>
      </c>
      <c r="BA125" s="27">
        <v>55.934939300000003</v>
      </c>
      <c r="BB125" s="27">
        <v>55.939842599999999</v>
      </c>
      <c r="BC125" s="27">
        <v>55.942134000000003</v>
      </c>
    </row>
    <row r="126" spans="1:56" x14ac:dyDescent="0.25">
      <c r="A126" s="2">
        <v>16</v>
      </c>
      <c r="B126" s="50"/>
      <c r="C126" s="60"/>
      <c r="D126" s="42"/>
      <c r="H126" s="43"/>
      <c r="I126" s="27">
        <v>0.90347043319054465</v>
      </c>
      <c r="J126" s="43"/>
      <c r="Z126" s="16" t="s">
        <v>195</v>
      </c>
      <c r="BA126" s="27">
        <v>56.935395700000001</v>
      </c>
      <c r="BB126" s="27">
        <v>56.936293800000001</v>
      </c>
      <c r="BC126" s="27">
        <v>56.939774999999997</v>
      </c>
    </row>
    <row r="127" spans="1:56" x14ac:dyDescent="0.25">
      <c r="A127" s="2">
        <v>17</v>
      </c>
      <c r="B127" s="50"/>
      <c r="C127" s="60"/>
      <c r="D127" s="42"/>
      <c r="H127" s="43"/>
      <c r="I127" s="43"/>
      <c r="J127" s="43"/>
      <c r="Z127" s="16" t="s">
        <v>196</v>
      </c>
      <c r="BA127" s="27">
        <v>57.933277799999999</v>
      </c>
      <c r="BB127" s="27">
        <v>57.935755299999997</v>
      </c>
      <c r="BC127" s="27">
        <v>57.935347100000001</v>
      </c>
      <c r="BD127" s="27">
        <v>57.944539399999996</v>
      </c>
    </row>
    <row r="128" spans="1:56" x14ac:dyDescent="0.25">
      <c r="A128" s="2">
        <v>18</v>
      </c>
      <c r="B128" s="50"/>
      <c r="C128" s="60"/>
      <c r="D128" s="42"/>
      <c r="H128" s="43"/>
      <c r="I128" s="43"/>
      <c r="J128" s="43"/>
      <c r="Z128" s="16" t="s">
        <v>197</v>
      </c>
      <c r="BB128" s="27">
        <v>58.933197800000002</v>
      </c>
      <c r="BC128" s="27">
        <v>58.934350199999997</v>
      </c>
      <c r="BD128" s="27">
        <v>58.939503899999998</v>
      </c>
    </row>
    <row r="129" spans="1:62" x14ac:dyDescent="0.25">
      <c r="A129" s="2">
        <v>19</v>
      </c>
      <c r="B129" s="50"/>
      <c r="C129" s="60"/>
      <c r="D129" s="42"/>
      <c r="H129" s="43"/>
      <c r="I129" s="43"/>
      <c r="J129" s="27">
        <v>0.86527202751660437</v>
      </c>
      <c r="Z129" s="16" t="s">
        <v>198</v>
      </c>
      <c r="BB129" s="27">
        <v>59.9338202</v>
      </c>
      <c r="BC129" s="27">
        <v>59.930788999999997</v>
      </c>
      <c r="BD129" s="27">
        <v>59.937366400000002</v>
      </c>
      <c r="BE129" s="27">
        <v>59.941831000000001</v>
      </c>
    </row>
    <row r="130" spans="1:62" x14ac:dyDescent="0.25">
      <c r="B130" s="50"/>
      <c r="C130" s="42"/>
      <c r="D130" s="50"/>
      <c r="E130" s="50"/>
      <c r="Z130" s="16" t="s">
        <v>199</v>
      </c>
      <c r="BB130" s="27">
        <v>60.932477800000001</v>
      </c>
      <c r="BC130" s="27">
        <v>60.9310586</v>
      </c>
      <c r="BD130" s="27">
        <v>60.933461600000001</v>
      </c>
      <c r="BE130" s="27">
        <v>60.939259999999997</v>
      </c>
    </row>
    <row r="131" spans="1:62" x14ac:dyDescent="0.25">
      <c r="B131" s="54"/>
      <c r="C131" s="54"/>
      <c r="D131" s="54"/>
      <c r="Z131" s="16" t="s">
        <v>200</v>
      </c>
      <c r="BC131" s="27">
        <v>61.928346400000002</v>
      </c>
      <c r="BD131" s="27">
        <v>61.932586000000001</v>
      </c>
      <c r="BE131" s="27">
        <v>61.934333000000002</v>
      </c>
    </row>
    <row r="132" spans="1:62" x14ac:dyDescent="0.25">
      <c r="A132" s="2" t="s">
        <v>370</v>
      </c>
      <c r="B132" s="50"/>
      <c r="C132" s="60"/>
      <c r="D132" s="42"/>
      <c r="H132" s="43"/>
      <c r="I132" s="43"/>
      <c r="J132" s="43"/>
      <c r="Z132" s="16" t="s">
        <v>201</v>
      </c>
      <c r="BC132" s="27">
        <v>62.9296699</v>
      </c>
      <c r="BD132" s="27">
        <v>62.929599199999998</v>
      </c>
      <c r="BE132" s="27">
        <v>62.933214100000001</v>
      </c>
    </row>
    <row r="133" spans="1:62" x14ac:dyDescent="0.25">
      <c r="B133" s="50"/>
      <c r="C133" s="60"/>
      <c r="D133" s="42"/>
      <c r="H133" s="43"/>
      <c r="I133" s="43"/>
      <c r="J133" s="43"/>
      <c r="Z133" s="16" t="s">
        <v>202</v>
      </c>
      <c r="BC133" s="27">
        <v>63.927968</v>
      </c>
      <c r="BD133" s="27">
        <v>63.929766100000002</v>
      </c>
      <c r="BE133" s="27">
        <v>63.929145400000003</v>
      </c>
      <c r="BF133" s="27">
        <v>63.936836999999997</v>
      </c>
      <c r="BG133" s="27">
        <v>63.941569999999999</v>
      </c>
    </row>
    <row r="134" spans="1:62" x14ac:dyDescent="0.25">
      <c r="A134" s="2" t="s">
        <v>12</v>
      </c>
      <c r="B134" s="23" t="s">
        <v>369</v>
      </c>
      <c r="C134" s="60"/>
      <c r="D134" s="42"/>
      <c r="H134" s="43"/>
      <c r="I134" s="43"/>
      <c r="J134" s="43"/>
      <c r="Z134" s="16" t="s">
        <v>203</v>
      </c>
      <c r="BD134" s="27">
        <v>64.927792400000001</v>
      </c>
      <c r="BE134" s="27">
        <v>64.929243700000001</v>
      </c>
      <c r="BF134" s="27">
        <v>64.932738900000004</v>
      </c>
      <c r="BG134" s="27">
        <v>64.939440000000005</v>
      </c>
    </row>
    <row r="135" spans="1:62" x14ac:dyDescent="0.25">
      <c r="A135" s="2" t="s">
        <v>348</v>
      </c>
      <c r="B135" s="27">
        <v>1</v>
      </c>
      <c r="C135" s="27">
        <v>2</v>
      </c>
      <c r="D135" s="27">
        <v>3</v>
      </c>
      <c r="E135" s="27">
        <v>4</v>
      </c>
      <c r="F135" s="23">
        <v>5</v>
      </c>
      <c r="G135" s="27">
        <v>6</v>
      </c>
      <c r="H135" s="27">
        <v>7</v>
      </c>
      <c r="I135" s="27">
        <v>8</v>
      </c>
      <c r="J135" s="27">
        <v>9</v>
      </c>
      <c r="Z135" s="16" t="s">
        <v>204</v>
      </c>
      <c r="BD135" s="27">
        <v>65.928871000000001</v>
      </c>
      <c r="BE135" s="27">
        <v>65.926035200000001</v>
      </c>
      <c r="BF135" s="27">
        <v>65.931590799999995</v>
      </c>
      <c r="BG135" s="27">
        <v>65.933847</v>
      </c>
    </row>
    <row r="136" spans="1:62" x14ac:dyDescent="0.25">
      <c r="A136" s="2">
        <v>1</v>
      </c>
      <c r="B136" s="27">
        <v>1.2833101815966044</v>
      </c>
      <c r="C136" s="43"/>
      <c r="D136" s="42"/>
      <c r="H136" s="43"/>
      <c r="I136" s="43"/>
      <c r="J136" s="43"/>
      <c r="Z136" s="16" t="s">
        <v>205</v>
      </c>
      <c r="BD136" s="27">
        <v>66.927745999999999</v>
      </c>
      <c r="BE136" s="27">
        <v>66.9271289</v>
      </c>
      <c r="BF136" s="27">
        <v>66.928203600000003</v>
      </c>
      <c r="BG136" s="27">
        <v>66.932959999999994</v>
      </c>
    </row>
    <row r="137" spans="1:62" x14ac:dyDescent="0.25">
      <c r="A137" s="2">
        <v>2</v>
      </c>
      <c r="B137" s="27">
        <v>1.1103071378728733</v>
      </c>
      <c r="C137" s="43"/>
      <c r="D137" s="42"/>
      <c r="H137" s="43"/>
      <c r="I137" s="43"/>
      <c r="J137" s="43"/>
      <c r="Z137" s="16" t="s">
        <v>206</v>
      </c>
      <c r="BE137" s="27">
        <v>67.9248458</v>
      </c>
      <c r="BF137" s="27">
        <v>67.927981700000004</v>
      </c>
      <c r="BG137" s="27">
        <v>67.928104000000005</v>
      </c>
    </row>
    <row r="138" spans="1:62" x14ac:dyDescent="0.25">
      <c r="A138" s="2">
        <v>3</v>
      </c>
      <c r="B138" s="27">
        <v>1.0484391462175604</v>
      </c>
      <c r="C138" s="27">
        <v>0.49936832791053121</v>
      </c>
      <c r="D138" s="42"/>
      <c r="H138" s="43"/>
      <c r="I138" s="43"/>
      <c r="J138" s="43"/>
      <c r="Z138" s="16" t="s">
        <v>207</v>
      </c>
      <c r="BE138" s="27">
        <v>68.926551900000007</v>
      </c>
      <c r="BF138" s="27">
        <v>68.9255809</v>
      </c>
      <c r="BG138" s="27">
        <v>68.927970000000002</v>
      </c>
    </row>
    <row r="139" spans="1:62" x14ac:dyDescent="0.25">
      <c r="A139" s="2">
        <v>4</v>
      </c>
      <c r="B139" s="50"/>
      <c r="C139" s="27">
        <v>0.43060856564791961</v>
      </c>
      <c r="D139" s="42"/>
      <c r="H139" s="43"/>
      <c r="I139" s="43"/>
      <c r="J139" s="43"/>
      <c r="Z139" s="16" t="s">
        <v>208</v>
      </c>
      <c r="BE139" s="27">
        <v>69.925324900000007</v>
      </c>
      <c r="BF139" s="27">
        <v>69.9260278</v>
      </c>
      <c r="BG139" s="27">
        <v>69.924249799999998</v>
      </c>
      <c r="BH139" s="27">
        <v>69.930929000000006</v>
      </c>
    </row>
    <row r="140" spans="1:62" x14ac:dyDescent="0.25">
      <c r="A140" s="2">
        <v>5</v>
      </c>
      <c r="B140" s="50"/>
      <c r="C140" s="43"/>
      <c r="D140" s="42"/>
      <c r="H140" s="43"/>
      <c r="I140" s="43"/>
      <c r="J140" s="43"/>
      <c r="Z140" s="16" t="s">
        <v>209</v>
      </c>
      <c r="BF140" s="27">
        <v>70.924700599999994</v>
      </c>
      <c r="BG140" s="27">
        <v>70.924953700000003</v>
      </c>
      <c r="BH140" s="27">
        <v>70.927114000000003</v>
      </c>
    </row>
    <row r="141" spans="1:62" x14ac:dyDescent="0.25">
      <c r="A141" s="2">
        <v>6</v>
      </c>
      <c r="B141" s="50"/>
      <c r="C141" s="43"/>
      <c r="D141" s="42"/>
      <c r="H141" s="43"/>
      <c r="I141" s="43"/>
      <c r="J141" s="43"/>
      <c r="Z141" s="16" t="s">
        <v>210</v>
      </c>
      <c r="BF141" s="27">
        <v>71.926365099999998</v>
      </c>
      <c r="BG141" s="27">
        <v>71.922079999999994</v>
      </c>
      <c r="BH141" s="27">
        <v>71.926750999999996</v>
      </c>
      <c r="BI141" s="27">
        <v>71.927113000000006</v>
      </c>
    </row>
    <row r="142" spans="1:62" x14ac:dyDescent="0.25">
      <c r="A142" s="2">
        <v>7</v>
      </c>
      <c r="B142" s="50"/>
      <c r="C142" s="43"/>
      <c r="D142" s="27">
        <v>0.23661270390043729</v>
      </c>
      <c r="H142" s="43"/>
      <c r="I142" s="43"/>
      <c r="J142" s="43"/>
      <c r="Z142" s="16" t="s">
        <v>211</v>
      </c>
      <c r="BF142" s="27">
        <v>72.925139999999999</v>
      </c>
      <c r="BG142" s="27">
        <v>72.923463900000002</v>
      </c>
      <c r="BH142" s="27">
        <v>72.923833999999999</v>
      </c>
      <c r="BI142" s="27">
        <v>72.926775000000006</v>
      </c>
    </row>
    <row r="143" spans="1:62" x14ac:dyDescent="0.25">
      <c r="A143" s="2">
        <v>8</v>
      </c>
      <c r="B143" s="50"/>
      <c r="C143" s="43"/>
      <c r="D143" s="42"/>
      <c r="H143" s="43"/>
      <c r="I143" s="43"/>
      <c r="J143" s="43"/>
      <c r="Z143" s="16" t="s">
        <v>212</v>
      </c>
      <c r="BG143" s="27">
        <v>73.921178800000007</v>
      </c>
      <c r="BH143" s="27">
        <v>73.923929599999994</v>
      </c>
      <c r="BI143" s="27">
        <v>73.922477099999995</v>
      </c>
      <c r="BJ143" s="27">
        <v>73.929902999999996</v>
      </c>
    </row>
    <row r="144" spans="1:62" x14ac:dyDescent="0.25">
      <c r="A144" s="2">
        <v>9</v>
      </c>
      <c r="B144" s="50"/>
      <c r="C144" s="43"/>
      <c r="D144" s="42"/>
      <c r="E144" s="27">
        <v>0.13862239005370564</v>
      </c>
      <c r="H144" s="43"/>
      <c r="I144" s="43"/>
      <c r="J144" s="43"/>
      <c r="Z144" s="16" t="s">
        <v>213</v>
      </c>
      <c r="BG144" s="27">
        <v>74.922859900000006</v>
      </c>
      <c r="BH144" s="27">
        <v>74.921595499999995</v>
      </c>
      <c r="BI144" s="27">
        <v>74.922523999999996</v>
      </c>
      <c r="BJ144" s="27">
        <v>74.925754999999995</v>
      </c>
    </row>
    <row r="145" spans="1:69" x14ac:dyDescent="0.25">
      <c r="A145" s="2">
        <v>10</v>
      </c>
      <c r="B145" s="50"/>
      <c r="C145" s="43"/>
      <c r="D145" s="42"/>
      <c r="E145" s="54"/>
      <c r="F145" s="23">
        <v>0.11418124598689067</v>
      </c>
      <c r="H145" s="43"/>
      <c r="I145" s="43"/>
      <c r="J145" s="43"/>
      <c r="Z145" s="16" t="s">
        <v>214</v>
      </c>
      <c r="BG145" s="27">
        <v>75.921402700000002</v>
      </c>
      <c r="BH145" s="27">
        <v>75.922393400000004</v>
      </c>
      <c r="BI145" s="27">
        <v>75.919206599999995</v>
      </c>
      <c r="BJ145" s="27">
        <v>75.924526999999998</v>
      </c>
      <c r="BK145" s="27">
        <v>75.925820000000002</v>
      </c>
    </row>
    <row r="146" spans="1:69" x14ac:dyDescent="0.25">
      <c r="A146" s="2">
        <v>11</v>
      </c>
      <c r="B146" s="50"/>
      <c r="C146" s="43"/>
      <c r="D146" s="42"/>
      <c r="E146" s="54"/>
      <c r="F146" s="49"/>
      <c r="H146" s="43"/>
      <c r="I146" s="43"/>
      <c r="J146" s="43"/>
      <c r="Z146" s="16" t="s">
        <v>215</v>
      </c>
      <c r="BH146" s="27">
        <v>76.920648799999995</v>
      </c>
      <c r="BI146" s="27">
        <v>76.919907699999996</v>
      </c>
      <c r="BJ146" s="27">
        <v>76.921373000000003</v>
      </c>
      <c r="BK146" s="27">
        <v>76.924599000000001</v>
      </c>
    </row>
    <row r="147" spans="1:69" x14ac:dyDescent="0.25">
      <c r="A147" s="2">
        <v>12</v>
      </c>
      <c r="B147" s="50"/>
      <c r="C147" s="43"/>
      <c r="D147" s="42"/>
      <c r="E147" s="54"/>
      <c r="F147" s="49"/>
      <c r="G147" s="27">
        <v>5.5961469181884826E-2</v>
      </c>
      <c r="H147" s="43"/>
      <c r="I147" s="43"/>
      <c r="J147" s="43"/>
      <c r="Z147" s="16" t="s">
        <v>216</v>
      </c>
      <c r="BH147" s="27">
        <v>77.921909999999997</v>
      </c>
      <c r="BI147" s="27">
        <v>77.917304000000001</v>
      </c>
      <c r="BJ147" s="27">
        <v>77.921141000000006</v>
      </c>
      <c r="BK147" s="27">
        <v>77.920396999999994</v>
      </c>
      <c r="BL147" s="27">
        <v>77.927980000000005</v>
      </c>
    </row>
    <row r="148" spans="1:69" x14ac:dyDescent="0.25">
      <c r="A148" s="2">
        <v>13</v>
      </c>
      <c r="B148" s="50"/>
      <c r="C148" s="43"/>
      <c r="D148" s="42"/>
      <c r="E148" s="54"/>
      <c r="F148" s="49"/>
      <c r="H148" s="43"/>
      <c r="I148" s="43"/>
      <c r="J148" s="43"/>
      <c r="Z148" s="16" t="s">
        <v>217</v>
      </c>
      <c r="BH148" s="27">
        <v>78.920860000000005</v>
      </c>
      <c r="BI148" s="27">
        <v>78.918497000000002</v>
      </c>
      <c r="BJ148" s="27">
        <v>78.918336100000005</v>
      </c>
      <c r="BK148" s="27">
        <v>78.920086999999995</v>
      </c>
      <c r="BL148" s="27">
        <v>78.923929999999999</v>
      </c>
    </row>
    <row r="149" spans="1:69" x14ac:dyDescent="0.25">
      <c r="A149" s="2">
        <v>14</v>
      </c>
      <c r="B149" s="50"/>
      <c r="C149" s="43"/>
      <c r="D149" s="42"/>
      <c r="E149" s="54"/>
      <c r="F149" s="49"/>
      <c r="H149" s="27">
        <v>3.6242071476753519E-2</v>
      </c>
      <c r="I149" s="43"/>
      <c r="J149" s="43"/>
      <c r="Z149" s="16" t="s">
        <v>218</v>
      </c>
      <c r="BI149" s="27">
        <v>79.916520500000004</v>
      </c>
      <c r="BJ149" s="27">
        <v>79.9185284</v>
      </c>
      <c r="BK149" s="27">
        <v>79.916375000000002</v>
      </c>
      <c r="BL149" s="27">
        <v>79.922501999999994</v>
      </c>
      <c r="BM149" s="27">
        <v>79.924430000000001</v>
      </c>
    </row>
    <row r="150" spans="1:69" x14ac:dyDescent="0.25">
      <c r="A150" s="2">
        <v>15</v>
      </c>
      <c r="B150" s="50"/>
      <c r="C150" s="43"/>
      <c r="D150" s="42"/>
      <c r="E150" s="54"/>
      <c r="F150" s="49"/>
      <c r="H150" s="43"/>
      <c r="I150" s="43"/>
      <c r="J150" s="43"/>
      <c r="Z150" s="16" t="s">
        <v>219</v>
      </c>
      <c r="BI150" s="27">
        <v>80.917991000000001</v>
      </c>
      <c r="BJ150" s="27">
        <v>80.916290000000004</v>
      </c>
      <c r="BK150" s="27">
        <v>80.916578000000001</v>
      </c>
      <c r="BL150" s="27">
        <v>80.919006999999993</v>
      </c>
      <c r="BM150" s="27">
        <v>80.923289999999994</v>
      </c>
    </row>
    <row r="151" spans="1:69" x14ac:dyDescent="0.25">
      <c r="A151" s="2">
        <v>16</v>
      </c>
      <c r="B151" s="50"/>
      <c r="C151" s="43"/>
      <c r="D151" s="42"/>
      <c r="E151" s="54"/>
      <c r="F151" s="49"/>
      <c r="H151" s="43"/>
      <c r="I151" s="27">
        <v>-6.5437137776740576E-3</v>
      </c>
      <c r="J151" s="43"/>
      <c r="Z151" s="16" t="s">
        <v>220</v>
      </c>
      <c r="BI151" s="27">
        <v>81.916708999999997</v>
      </c>
      <c r="BJ151" s="27">
        <v>81.916803000000002</v>
      </c>
      <c r="BK151" s="27">
        <v>81.913482999999999</v>
      </c>
      <c r="BL151" s="27">
        <v>81.918182999999999</v>
      </c>
      <c r="BM151" s="27">
        <v>81.918413000000001</v>
      </c>
    </row>
    <row r="152" spans="1:69" x14ac:dyDescent="0.25">
      <c r="A152" s="2">
        <v>17</v>
      </c>
      <c r="B152" s="50"/>
      <c r="C152" s="43"/>
      <c r="D152" s="42"/>
      <c r="E152" s="54"/>
      <c r="F152" s="49"/>
      <c r="H152" s="43"/>
      <c r="I152" s="43"/>
      <c r="J152" s="43"/>
      <c r="Z152" s="16" t="s">
        <v>221</v>
      </c>
      <c r="BJ152" s="27">
        <v>82.915164000000004</v>
      </c>
      <c r="BK152" s="27">
        <v>82.914134000000004</v>
      </c>
      <c r="BL152" s="27">
        <v>82.915205</v>
      </c>
      <c r="BM152" s="27">
        <v>82.917619999999999</v>
      </c>
    </row>
    <row r="153" spans="1:69" x14ac:dyDescent="0.25">
      <c r="A153" s="2">
        <v>18</v>
      </c>
      <c r="B153" s="50"/>
      <c r="C153" s="43"/>
      <c r="D153" s="42"/>
      <c r="E153" s="54"/>
      <c r="F153" s="49"/>
      <c r="H153" s="43"/>
      <c r="I153" s="43"/>
      <c r="J153" s="43"/>
      <c r="Z153" s="16" t="s">
        <v>222</v>
      </c>
      <c r="BJ153" s="27">
        <v>83.916522999999998</v>
      </c>
      <c r="BK153" s="27">
        <v>83.911506399999993</v>
      </c>
      <c r="BL153" s="27">
        <v>83.914383999999998</v>
      </c>
      <c r="BM153" s="27">
        <v>83.913427999999996</v>
      </c>
      <c r="BN153" s="27">
        <v>83.920889000000003</v>
      </c>
    </row>
    <row r="154" spans="1:69" x14ac:dyDescent="0.25">
      <c r="A154" s="2">
        <v>19</v>
      </c>
      <c r="B154" s="50"/>
      <c r="C154" s="43"/>
      <c r="D154" s="42"/>
      <c r="E154" s="54"/>
      <c r="F154" s="49"/>
      <c r="H154" s="43"/>
      <c r="I154" s="43"/>
      <c r="J154" s="27">
        <v>-9.9892517341248575E-3</v>
      </c>
      <c r="Z154" s="16" t="s">
        <v>223</v>
      </c>
      <c r="BK154" s="27">
        <v>84.912537099999994</v>
      </c>
      <c r="BL154" s="27">
        <v>84.911799599999995</v>
      </c>
      <c r="BM154" s="27">
        <v>84.912942000000001</v>
      </c>
      <c r="BN154" s="27">
        <v>84.916442000000004</v>
      </c>
    </row>
    <row r="155" spans="1:69" x14ac:dyDescent="0.25">
      <c r="B155" s="42"/>
      <c r="C155" s="42"/>
      <c r="D155" s="42"/>
      <c r="E155" s="54"/>
      <c r="F155" s="49"/>
      <c r="H155" s="55"/>
      <c r="Z155" s="16" t="s">
        <v>224</v>
      </c>
      <c r="BK155" s="27">
        <v>85.910613999999995</v>
      </c>
      <c r="BL155" s="27">
        <v>85.911178100000001</v>
      </c>
      <c r="BM155" s="27">
        <v>85.909273200000001</v>
      </c>
      <c r="BN155" s="27">
        <v>85.914934000000002</v>
      </c>
      <c r="BO155" s="27">
        <v>85.916330000000002</v>
      </c>
    </row>
    <row r="156" spans="1:69" x14ac:dyDescent="0.25">
      <c r="B156" s="42"/>
      <c r="C156" s="42"/>
      <c r="D156" s="42"/>
      <c r="E156" s="54"/>
      <c r="F156" s="49"/>
      <c r="H156" s="55"/>
      <c r="Z156" s="16" t="s">
        <v>225</v>
      </c>
      <c r="BL156" s="27">
        <v>86.909183600000006</v>
      </c>
      <c r="BM156" s="27">
        <v>86.908890200000002</v>
      </c>
      <c r="BN156" s="27">
        <v>86.910888799999995</v>
      </c>
      <c r="BO156" s="27">
        <v>86.914730000000006</v>
      </c>
    </row>
    <row r="157" spans="1:69" x14ac:dyDescent="0.25">
      <c r="B157" s="42"/>
      <c r="C157" s="42"/>
      <c r="D157" s="42"/>
      <c r="E157" s="54"/>
      <c r="F157" s="49"/>
      <c r="H157" s="55"/>
      <c r="Z157" s="16" t="s">
        <v>226</v>
      </c>
      <c r="BL157" s="27">
        <v>87.911323999999993</v>
      </c>
      <c r="BM157" s="27">
        <v>87.905624900000007</v>
      </c>
      <c r="BN157" s="27">
        <v>87.909503000000001</v>
      </c>
      <c r="BO157" s="27">
        <v>87.910229999999999</v>
      </c>
    </row>
    <row r="158" spans="1:69" x14ac:dyDescent="0.25">
      <c r="B158" s="42"/>
      <c r="C158" s="42"/>
      <c r="D158" s="42"/>
      <c r="E158" s="54"/>
      <c r="F158" s="49"/>
      <c r="H158" s="55"/>
      <c r="Z158" s="16" t="s">
        <v>227</v>
      </c>
      <c r="BM158" s="27">
        <v>88.907458000000005</v>
      </c>
      <c r="BN158" s="27">
        <v>88.905856</v>
      </c>
      <c r="BO158" s="27">
        <v>88.908900299999999</v>
      </c>
      <c r="BP158" s="27">
        <v>88.913450999999995</v>
      </c>
    </row>
    <row r="159" spans="1:69" x14ac:dyDescent="0.25">
      <c r="B159" s="42"/>
      <c r="C159" s="42"/>
      <c r="D159" s="42"/>
      <c r="E159" s="54"/>
      <c r="F159" s="49"/>
      <c r="H159" s="55"/>
      <c r="Z159" s="16" t="s">
        <v>228</v>
      </c>
      <c r="BN159" s="27">
        <v>89.907159899999996</v>
      </c>
      <c r="BO159" s="27">
        <v>89.904707999999999</v>
      </c>
      <c r="BP159" s="27">
        <v>89.911268000000007</v>
      </c>
    </row>
    <row r="160" spans="1:69" x14ac:dyDescent="0.25">
      <c r="B160" s="42"/>
      <c r="C160" s="42"/>
      <c r="D160" s="42"/>
      <c r="E160" s="54"/>
      <c r="F160" s="49"/>
      <c r="H160" s="55"/>
      <c r="Z160" s="16" t="s">
        <v>229</v>
      </c>
      <c r="BN160" s="27">
        <v>90.907300699999993</v>
      </c>
      <c r="BO160" s="27">
        <v>90.905644199999998</v>
      </c>
      <c r="BP160" s="27">
        <v>90.906992000000002</v>
      </c>
      <c r="BQ160" s="27">
        <v>90.911756999999994</v>
      </c>
    </row>
    <row r="161" spans="2:76" x14ac:dyDescent="0.25">
      <c r="B161" s="42"/>
      <c r="C161" s="42"/>
      <c r="D161" s="42"/>
      <c r="E161" s="54"/>
      <c r="F161" s="49"/>
      <c r="H161" s="55"/>
      <c r="Z161" s="16" t="s">
        <v>230</v>
      </c>
      <c r="BN161" s="27">
        <v>91.908940999999999</v>
      </c>
      <c r="BO161" s="27">
        <v>91.905039200000004</v>
      </c>
      <c r="BP161" s="27">
        <v>91.905039200000004</v>
      </c>
      <c r="BQ161" s="27">
        <v>91.906808999999996</v>
      </c>
      <c r="BR161" s="27">
        <v>91.915260000000004</v>
      </c>
    </row>
    <row r="162" spans="2:76" x14ac:dyDescent="0.25">
      <c r="B162" s="42"/>
      <c r="C162" s="42"/>
      <c r="D162" s="42"/>
      <c r="E162" s="54"/>
      <c r="F162" s="49"/>
      <c r="H162" s="55"/>
      <c r="Z162" s="16" t="s">
        <v>371</v>
      </c>
      <c r="BN162" s="27">
        <v>92.909580000000005</v>
      </c>
      <c r="BO162" s="27">
        <v>92.906477100000004</v>
      </c>
      <c r="BP162" s="27">
        <v>92.906378000000004</v>
      </c>
      <c r="BQ162" s="27">
        <v>92.906813999999997</v>
      </c>
      <c r="BR162" s="27">
        <v>92.910241999999997</v>
      </c>
    </row>
    <row r="163" spans="2:76" x14ac:dyDescent="0.25">
      <c r="B163" s="50"/>
      <c r="C163" s="54"/>
      <c r="Z163" s="16" t="s">
        <v>371</v>
      </c>
      <c r="BO163" s="27">
        <v>93.906319100000005</v>
      </c>
      <c r="BP163" s="27">
        <v>93.907281900000001</v>
      </c>
      <c r="BQ163" s="27">
        <v>93.9050862</v>
      </c>
      <c r="BR163" s="27">
        <v>93.909655000000001</v>
      </c>
      <c r="BS163" s="27">
        <v>93.911356999999995</v>
      </c>
    </row>
    <row r="164" spans="2:76" x14ac:dyDescent="0.25">
      <c r="Z164" s="16" t="s">
        <v>371</v>
      </c>
      <c r="BO164" s="27">
        <v>94.908037300000004</v>
      </c>
      <c r="BP164" s="27">
        <v>94.906831600000004</v>
      </c>
      <c r="BQ164" s="27">
        <v>94.905837899999995</v>
      </c>
      <c r="BR164" s="27">
        <v>94.907662000000002</v>
      </c>
      <c r="BS164" s="27">
        <v>94.910410999999996</v>
      </c>
    </row>
    <row r="165" spans="2:76" x14ac:dyDescent="0.25">
      <c r="B165" s="50"/>
      <c r="C165" s="54"/>
      <c r="D165" s="42"/>
      <c r="E165" s="54"/>
      <c r="F165" s="49"/>
      <c r="H165" s="55"/>
      <c r="Z165" s="16" t="s">
        <v>372</v>
      </c>
      <c r="BO165" s="27">
        <v>95.908271999999997</v>
      </c>
      <c r="BP165" s="27">
        <v>95.908096999999998</v>
      </c>
      <c r="BQ165" s="27">
        <v>95.904675499999996</v>
      </c>
      <c r="BR165" s="27">
        <v>95.907867999999993</v>
      </c>
      <c r="BS165" s="27">
        <v>95.907595999999998</v>
      </c>
      <c r="BT165" s="27">
        <v>95.914511000000005</v>
      </c>
    </row>
    <row r="166" spans="2:76" x14ac:dyDescent="0.25">
      <c r="Z166" s="16" t="s">
        <v>371</v>
      </c>
      <c r="BP166" s="27">
        <v>96.908092999999994</v>
      </c>
      <c r="BQ166" s="27">
        <v>96.906017899999995</v>
      </c>
      <c r="BR166" s="27">
        <v>96.906362000000001</v>
      </c>
      <c r="BS166" s="27">
        <v>96.907600000000002</v>
      </c>
    </row>
    <row r="167" spans="2:76" x14ac:dyDescent="0.25">
      <c r="Z167" s="16" t="s">
        <v>373</v>
      </c>
      <c r="BP167" s="27">
        <v>97.910326999999995</v>
      </c>
      <c r="BQ167" s="27">
        <v>97.905405000000002</v>
      </c>
      <c r="BR167" s="27">
        <v>97.907211000000004</v>
      </c>
      <c r="BS167" s="27">
        <v>97.905287000000001</v>
      </c>
      <c r="BT167" s="27">
        <v>97.910715999999994</v>
      </c>
      <c r="BU167" s="27">
        <v>97.912760000000006</v>
      </c>
    </row>
    <row r="168" spans="2:76" x14ac:dyDescent="0.25">
      <c r="Z168" s="16" t="s">
        <v>374</v>
      </c>
      <c r="BQ168" s="27">
        <v>98.907708700000001</v>
      </c>
      <c r="BR168" s="27">
        <v>98.906252199999997</v>
      </c>
      <c r="BS168" s="27">
        <v>98.905937100000003</v>
      </c>
      <c r="BT168" s="27">
        <v>98.908195000000006</v>
      </c>
      <c r="BU168" s="27">
        <v>98.911850000000001</v>
      </c>
    </row>
    <row r="169" spans="2:76" x14ac:dyDescent="0.25">
      <c r="Z169" s="16" t="s">
        <v>375</v>
      </c>
      <c r="BQ169" s="27">
        <v>99.907472999999996</v>
      </c>
      <c r="BR169" s="27">
        <v>99.907655800000001</v>
      </c>
      <c r="BS169" s="27">
        <v>99.904217500000001</v>
      </c>
      <c r="BT169" s="27">
        <v>99.908113999999998</v>
      </c>
      <c r="BU169" s="27">
        <v>99.908501999999999</v>
      </c>
    </row>
    <row r="170" spans="2:76" x14ac:dyDescent="0.25">
      <c r="W170" s="60"/>
      <c r="X170" s="60"/>
      <c r="Z170" s="16" t="s">
        <v>376</v>
      </c>
      <c r="BR170" s="27">
        <v>100.907325</v>
      </c>
      <c r="BS170" s="27">
        <v>100.9055808</v>
      </c>
      <c r="BT170" s="27">
        <v>100.90616199999999</v>
      </c>
      <c r="BU170" s="27">
        <v>100.90828999999999</v>
      </c>
    </row>
    <row r="171" spans="2:76" x14ac:dyDescent="0.25">
      <c r="Z171" s="16" t="s">
        <v>377</v>
      </c>
      <c r="BR171" s="27">
        <v>101.90918000000001</v>
      </c>
      <c r="BS171" s="27">
        <v>101.9043475</v>
      </c>
      <c r="BT171" s="27">
        <v>101.906842</v>
      </c>
      <c r="BU171" s="27">
        <v>101.905609</v>
      </c>
      <c r="BV171" s="27">
        <v>101.91162</v>
      </c>
    </row>
    <row r="172" spans="2:76" x14ac:dyDescent="0.25">
      <c r="W172" s="43"/>
      <c r="X172" s="43"/>
      <c r="Z172" s="16" t="s">
        <v>378</v>
      </c>
      <c r="BS172" s="27">
        <v>102.9063218</v>
      </c>
      <c r="BT172" s="27">
        <v>102.905503</v>
      </c>
      <c r="BU172" s="27">
        <v>102.90608899999999</v>
      </c>
      <c r="BV172" s="27">
        <v>102.90897</v>
      </c>
    </row>
    <row r="173" spans="2:76" x14ac:dyDescent="0.25">
      <c r="W173" s="43"/>
      <c r="X173" s="43"/>
      <c r="Z173" s="16" t="s">
        <v>379</v>
      </c>
      <c r="BS173" s="27">
        <v>103.905422</v>
      </c>
      <c r="BT173" s="27">
        <v>103.90665300000001</v>
      </c>
      <c r="BU173" s="27">
        <v>103.904026</v>
      </c>
      <c r="BV173" s="27">
        <v>103.90858799999999</v>
      </c>
      <c r="BW173" s="27">
        <v>103.90998</v>
      </c>
    </row>
    <row r="174" spans="2:76" x14ac:dyDescent="0.25">
      <c r="C174" s="43"/>
      <c r="D174" s="54"/>
      <c r="E174" s="43"/>
      <c r="W174" s="43"/>
      <c r="X174" s="43"/>
      <c r="Z174" s="16" t="s">
        <v>380</v>
      </c>
      <c r="BT174" s="27">
        <v>104.90568399999999</v>
      </c>
      <c r="BU174" s="27">
        <v>104.905075</v>
      </c>
      <c r="BV174" s="27">
        <v>104.906522</v>
      </c>
      <c r="BW174" s="27">
        <v>104.909462</v>
      </c>
    </row>
    <row r="175" spans="2:76" x14ac:dyDescent="0.25">
      <c r="W175" s="43"/>
      <c r="X175" s="43"/>
      <c r="Z175" s="16" t="s">
        <v>381</v>
      </c>
      <c r="BT175" s="27">
        <v>105.907276</v>
      </c>
      <c r="BU175" s="27">
        <v>105.903475</v>
      </c>
      <c r="BV175" s="27">
        <v>105.906678</v>
      </c>
      <c r="BW175" s="27">
        <v>105.90646099999999</v>
      </c>
      <c r="BX175" s="27">
        <v>105.913488</v>
      </c>
    </row>
    <row r="176" spans="2:76" x14ac:dyDescent="0.25">
      <c r="C176" s="43"/>
      <c r="D176" s="42"/>
      <c r="W176" s="43"/>
      <c r="X176" s="43"/>
      <c r="Z176" s="16" t="s">
        <v>382</v>
      </c>
      <c r="BT176" s="27">
        <v>106.90675</v>
      </c>
      <c r="BU176" s="27">
        <v>106.90513</v>
      </c>
      <c r="BV176" s="27">
        <v>106.905095</v>
      </c>
      <c r="BW176" s="27">
        <v>106.90616</v>
      </c>
      <c r="BX176" s="27">
        <v>106.91036</v>
      </c>
    </row>
    <row r="177" spans="2:81" x14ac:dyDescent="0.25">
      <c r="C177" s="43"/>
      <c r="D177" s="42"/>
      <c r="E177" s="50"/>
      <c r="F177" s="49"/>
      <c r="I177" s="42"/>
      <c r="J177" s="50"/>
      <c r="K177" s="50"/>
      <c r="W177" s="43"/>
      <c r="X177" s="43"/>
      <c r="Z177" s="16" t="s">
        <v>383</v>
      </c>
      <c r="BU177" s="27">
        <v>107.90389399999999</v>
      </c>
      <c r="BV177" s="27">
        <v>107.905956</v>
      </c>
      <c r="BW177" s="27">
        <v>107.904186</v>
      </c>
      <c r="BX177" s="27">
        <v>107.90971</v>
      </c>
      <c r="BY177" s="27">
        <v>107.91208</v>
      </c>
    </row>
    <row r="178" spans="2:81" x14ac:dyDescent="0.25">
      <c r="C178" s="60"/>
      <c r="D178" s="42"/>
      <c r="E178" s="50"/>
      <c r="F178" s="49"/>
      <c r="I178" s="42"/>
      <c r="J178" s="50"/>
      <c r="K178" s="50"/>
      <c r="W178" s="43"/>
      <c r="X178" s="43"/>
      <c r="Z178" s="16" t="s">
        <v>384</v>
      </c>
      <c r="BU178" s="27">
        <v>108.905952</v>
      </c>
      <c r="BV178" s="27">
        <v>108.904754</v>
      </c>
      <c r="BW178" s="27">
        <v>108.904949</v>
      </c>
      <c r="BX178" s="27">
        <v>108.907113</v>
      </c>
      <c r="BY178" s="27">
        <v>108.9113</v>
      </c>
    </row>
    <row r="179" spans="2:81" x14ac:dyDescent="0.25">
      <c r="B179" s="50"/>
      <c r="C179" s="60"/>
      <c r="D179" s="42"/>
      <c r="E179" s="50"/>
      <c r="F179" s="49"/>
      <c r="I179" s="42"/>
      <c r="J179" s="50"/>
      <c r="K179" s="50"/>
      <c r="R179" s="60"/>
      <c r="S179" s="60"/>
      <c r="T179" s="60"/>
      <c r="U179" s="60"/>
      <c r="V179" s="60"/>
      <c r="W179" s="43"/>
      <c r="X179" s="43"/>
      <c r="Z179" s="16" t="s">
        <v>385</v>
      </c>
      <c r="BU179" s="27">
        <v>109.905169</v>
      </c>
      <c r="BV179" s="27">
        <v>109.906113</v>
      </c>
      <c r="BW179" s="27">
        <v>109.903007</v>
      </c>
      <c r="BX179" s="27">
        <v>109.90723699999999</v>
      </c>
      <c r="BY179" s="27">
        <v>109.907854</v>
      </c>
    </row>
    <row r="180" spans="2:81" x14ac:dyDescent="0.25">
      <c r="B180" s="50"/>
      <c r="C180" s="60"/>
      <c r="D180" s="42"/>
      <c r="E180" s="50"/>
      <c r="F180" s="49"/>
      <c r="I180" s="42"/>
      <c r="J180" s="50"/>
      <c r="K180" s="50"/>
      <c r="W180" s="43"/>
      <c r="X180" s="43"/>
      <c r="Z180" s="16" t="s">
        <v>386</v>
      </c>
      <c r="BV180" s="27">
        <v>110.905286</v>
      </c>
      <c r="BW180" s="27">
        <v>110.90418200000001</v>
      </c>
      <c r="BX180" s="27">
        <v>110.90509400000001</v>
      </c>
      <c r="BY180" s="27">
        <v>110.90774</v>
      </c>
    </row>
    <row r="181" spans="2:81" x14ac:dyDescent="0.25">
      <c r="B181" s="50"/>
      <c r="C181" s="60"/>
      <c r="D181" s="42"/>
      <c r="E181" s="50"/>
      <c r="F181" s="49"/>
      <c r="I181" s="42"/>
      <c r="J181" s="50"/>
      <c r="K181" s="50"/>
      <c r="R181" s="43"/>
      <c r="S181" s="43"/>
      <c r="T181" s="43"/>
      <c r="U181" s="43"/>
      <c r="V181" s="43"/>
      <c r="W181" s="43"/>
      <c r="X181" s="43"/>
      <c r="Z181" s="16" t="s">
        <v>387</v>
      </c>
      <c r="BV181" s="27">
        <v>111.907011</v>
      </c>
      <c r="BW181" s="27">
        <v>111.9027614</v>
      </c>
      <c r="BX181" s="27">
        <v>111.905529</v>
      </c>
      <c r="BY181" s="27">
        <v>111.90482299999999</v>
      </c>
      <c r="BZ181" s="27">
        <v>111.91255</v>
      </c>
      <c r="CA181" s="27">
        <v>111.91674999999999</v>
      </c>
    </row>
    <row r="182" spans="2:81" x14ac:dyDescent="0.25">
      <c r="B182" s="50"/>
      <c r="C182" s="60"/>
      <c r="D182" s="42"/>
      <c r="E182" s="50"/>
      <c r="F182" s="49"/>
      <c r="I182" s="42"/>
      <c r="J182" s="50"/>
      <c r="K182" s="50"/>
      <c r="R182" s="43"/>
      <c r="S182" s="43"/>
      <c r="T182" s="43"/>
      <c r="U182" s="43"/>
      <c r="V182" s="43"/>
      <c r="W182" s="43"/>
      <c r="X182" s="43"/>
      <c r="Z182" s="16" t="s">
        <v>388</v>
      </c>
      <c r="BV182" s="27">
        <v>112.906559</v>
      </c>
      <c r="BW182" s="27">
        <v>112.9044013</v>
      </c>
      <c r="BX182" s="27">
        <v>112.904056</v>
      </c>
      <c r="BY182" s="27">
        <v>112.90517199999999</v>
      </c>
      <c r="BZ182" s="27">
        <v>112.90934799999999</v>
      </c>
      <c r="CA182" s="27">
        <v>112.91567999999999</v>
      </c>
    </row>
    <row r="183" spans="2:81" x14ac:dyDescent="0.25">
      <c r="B183" s="50"/>
      <c r="C183" s="60"/>
      <c r="D183" s="42"/>
      <c r="E183" s="50"/>
      <c r="F183" s="49"/>
      <c r="I183" s="42"/>
      <c r="J183" s="50"/>
      <c r="K183" s="50"/>
      <c r="R183" s="43"/>
      <c r="S183" s="43"/>
      <c r="T183" s="43"/>
      <c r="U183" s="43"/>
      <c r="V183" s="43"/>
      <c r="W183" s="43"/>
      <c r="X183" s="43"/>
      <c r="Z183" s="16" t="s">
        <v>389</v>
      </c>
      <c r="BW183" s="27">
        <v>113.90336069999999</v>
      </c>
      <c r="BX183" s="27">
        <v>113.904911</v>
      </c>
      <c r="BY183" s="27">
        <v>113.902781</v>
      </c>
      <c r="BZ183" s="27">
        <v>113.90889</v>
      </c>
      <c r="CA183" s="27">
        <v>113.91177</v>
      </c>
    </row>
    <row r="184" spans="2:81" x14ac:dyDescent="0.25">
      <c r="B184" s="50"/>
      <c r="C184" s="60"/>
      <c r="D184" s="42"/>
      <c r="E184" s="50"/>
      <c r="F184" s="49"/>
      <c r="I184" s="42"/>
      <c r="J184" s="50"/>
      <c r="K184" s="50"/>
      <c r="R184" s="43"/>
      <c r="S184" s="43"/>
      <c r="T184" s="43"/>
      <c r="U184" s="43"/>
      <c r="V184" s="43"/>
      <c r="W184" s="43"/>
      <c r="X184" s="43"/>
      <c r="Z184" s="16" t="s">
        <v>390</v>
      </c>
      <c r="BW184" s="27">
        <v>114.905429</v>
      </c>
      <c r="BX184" s="27">
        <v>114.903875</v>
      </c>
      <c r="BY184" s="27">
        <v>114.9033441</v>
      </c>
      <c r="BZ184" s="27">
        <v>114.906597</v>
      </c>
      <c r="CA184" s="27">
        <v>114.91152</v>
      </c>
    </row>
    <row r="185" spans="2:81" x14ac:dyDescent="0.25">
      <c r="B185" s="50"/>
      <c r="C185" s="60"/>
      <c r="D185" s="42"/>
      <c r="E185" s="50"/>
      <c r="F185" s="49"/>
      <c r="I185" s="42"/>
      <c r="J185" s="50"/>
      <c r="K185" s="50"/>
      <c r="R185" s="43"/>
      <c r="S185" s="43"/>
      <c r="T185" s="43"/>
      <c r="U185" s="43"/>
      <c r="V185" s="43"/>
      <c r="W185" s="43"/>
      <c r="X185" s="43"/>
      <c r="Z185" s="16" t="s">
        <v>391</v>
      </c>
      <c r="BW185" s="27">
        <v>115.904758</v>
      </c>
      <c r="BX185" s="27">
        <v>115.90525700000001</v>
      </c>
      <c r="BY185" s="27">
        <v>115.90174349999999</v>
      </c>
      <c r="BZ185" s="27">
        <v>115.90667999999999</v>
      </c>
      <c r="CA185" s="27">
        <v>115.90836</v>
      </c>
    </row>
    <row r="186" spans="2:81" x14ac:dyDescent="0.25">
      <c r="B186" s="50"/>
      <c r="C186" s="60"/>
      <c r="D186" s="42"/>
      <c r="E186" s="50"/>
      <c r="F186" s="49"/>
      <c r="I186" s="42"/>
      <c r="J186" s="50"/>
      <c r="K186" s="50"/>
      <c r="R186" s="43"/>
      <c r="S186" s="43"/>
      <c r="T186" s="43"/>
      <c r="U186" s="43"/>
      <c r="V186" s="43"/>
      <c r="W186" s="43"/>
      <c r="X186" s="43"/>
      <c r="Z186" s="16" t="s">
        <v>392</v>
      </c>
      <c r="BX186" s="27">
        <v>116.904515</v>
      </c>
      <c r="BY186" s="27">
        <v>116.9029536</v>
      </c>
      <c r="BZ186" s="27">
        <v>116.904827</v>
      </c>
      <c r="CA186" s="27">
        <v>116.908573</v>
      </c>
    </row>
    <row r="187" spans="2:81" x14ac:dyDescent="0.25">
      <c r="B187" s="50"/>
      <c r="C187" s="60"/>
      <c r="D187" s="42"/>
      <c r="E187" s="50"/>
      <c r="F187" s="49"/>
      <c r="I187" s="42"/>
      <c r="J187" s="50"/>
      <c r="K187" s="50"/>
      <c r="R187" s="43"/>
      <c r="S187" s="43"/>
      <c r="T187" s="43"/>
      <c r="U187" s="43"/>
      <c r="V187" s="43"/>
      <c r="W187" s="43"/>
      <c r="X187" s="43"/>
      <c r="Z187" s="16" t="s">
        <v>393</v>
      </c>
      <c r="BX187" s="27">
        <v>117.90612</v>
      </c>
      <c r="BY187" s="27">
        <v>117.90160659999999</v>
      </c>
      <c r="BZ187" s="27">
        <v>117.905564</v>
      </c>
      <c r="CA187" s="27">
        <v>117.90588200000001</v>
      </c>
    </row>
    <row r="188" spans="2:81" x14ac:dyDescent="0.25">
      <c r="B188" s="50"/>
      <c r="C188" s="60"/>
      <c r="D188" s="42"/>
      <c r="E188" s="50"/>
      <c r="F188" s="49"/>
      <c r="I188" s="42"/>
      <c r="J188" s="50"/>
      <c r="K188" s="50"/>
      <c r="R188" s="43"/>
      <c r="S188" s="43"/>
      <c r="T188" s="43"/>
      <c r="U188" s="43"/>
      <c r="V188" s="43"/>
      <c r="W188" s="43"/>
      <c r="X188" s="43"/>
      <c r="Z188" s="16" t="s">
        <v>394</v>
      </c>
      <c r="BX188" s="27">
        <v>118.90581899999999</v>
      </c>
      <c r="BY188" s="27">
        <v>118.90331020000001</v>
      </c>
      <c r="BZ188" s="27">
        <v>118.903937</v>
      </c>
      <c r="CA188" s="27">
        <v>118.9064</v>
      </c>
    </row>
    <row r="189" spans="2:81" x14ac:dyDescent="0.25">
      <c r="B189" s="50"/>
      <c r="C189" s="60"/>
      <c r="D189" s="42"/>
      <c r="E189" s="50"/>
      <c r="F189" s="49"/>
      <c r="I189" s="42"/>
      <c r="J189" s="50"/>
      <c r="K189" s="50"/>
      <c r="R189" s="43"/>
      <c r="S189" s="43"/>
      <c r="T189" s="43"/>
      <c r="U189" s="43"/>
      <c r="V189" s="43"/>
      <c r="W189" s="43"/>
      <c r="X189" s="43"/>
      <c r="Z189" s="16" t="s">
        <v>395</v>
      </c>
      <c r="BX189" s="27">
        <v>119.908</v>
      </c>
      <c r="BY189" s="27">
        <v>119.902199</v>
      </c>
      <c r="BZ189" s="27">
        <v>119.90507700000001</v>
      </c>
      <c r="CA189" s="27">
        <v>119.904021</v>
      </c>
      <c r="CB189" s="27">
        <v>119.90982</v>
      </c>
    </row>
    <row r="190" spans="2:81" x14ac:dyDescent="0.25">
      <c r="B190" s="50"/>
      <c r="C190" s="60"/>
      <c r="D190" s="42"/>
      <c r="E190" s="50"/>
      <c r="F190" s="49"/>
      <c r="I190" s="42"/>
      <c r="J190" s="50"/>
      <c r="K190" s="50"/>
      <c r="R190" s="43"/>
      <c r="S190" s="43"/>
      <c r="T190" s="43"/>
      <c r="U190" s="43"/>
      <c r="V190" s="43"/>
      <c r="W190" s="43"/>
      <c r="X190" s="43"/>
      <c r="Z190" s="16" t="s">
        <v>396</v>
      </c>
      <c r="BX190" s="27">
        <v>120.90784499999999</v>
      </c>
      <c r="BY190" s="27">
        <v>120.90423869999999</v>
      </c>
      <c r="BZ190" s="27">
        <v>120.9038237</v>
      </c>
      <c r="CA190" s="27">
        <v>120.904983</v>
      </c>
      <c r="CB190" s="27">
        <v>120.90752999999999</v>
      </c>
    </row>
    <row r="191" spans="2:81" x14ac:dyDescent="0.25">
      <c r="B191" s="50"/>
      <c r="C191" s="60"/>
      <c r="D191" s="42"/>
      <c r="E191" s="50"/>
      <c r="F191" s="49"/>
      <c r="I191" s="42"/>
      <c r="J191" s="50"/>
      <c r="K191" s="50"/>
      <c r="R191" s="43"/>
      <c r="S191" s="43"/>
      <c r="T191" s="43"/>
      <c r="U191" s="43"/>
      <c r="V191" s="43"/>
      <c r="W191" s="43"/>
      <c r="X191" s="43"/>
      <c r="Z191" s="16" t="s">
        <v>397</v>
      </c>
      <c r="BY191" s="27">
        <v>121.90344</v>
      </c>
      <c r="BZ191" s="27">
        <v>121.90518179999999</v>
      </c>
      <c r="CA191" s="27">
        <v>121.90305499999999</v>
      </c>
      <c r="CB191" s="27">
        <v>121.9075</v>
      </c>
      <c r="CC191" s="27">
        <v>121.90857</v>
      </c>
    </row>
    <row r="192" spans="2:81" x14ac:dyDescent="0.25">
      <c r="B192" s="50"/>
      <c r="C192" s="60"/>
      <c r="D192" s="42"/>
      <c r="E192" s="50"/>
      <c r="F192" s="49"/>
      <c r="I192" s="42"/>
      <c r="J192" s="50"/>
      <c r="K192" s="50"/>
      <c r="R192" s="43"/>
      <c r="S192" s="43"/>
      <c r="T192" s="43"/>
      <c r="U192" s="43"/>
      <c r="V192" s="43"/>
      <c r="W192" s="43"/>
      <c r="X192" s="43"/>
      <c r="Z192" s="16" t="s">
        <v>398</v>
      </c>
      <c r="BY192" s="27">
        <v>122.905721</v>
      </c>
      <c r="BZ192" s="27">
        <v>122.904222</v>
      </c>
      <c r="CA192" s="27">
        <v>122.90427800000001</v>
      </c>
      <c r="CB192" s="27">
        <v>122.90557</v>
      </c>
      <c r="CC192" s="27">
        <v>122.90844</v>
      </c>
    </row>
    <row r="193" spans="2:87" x14ac:dyDescent="0.25">
      <c r="B193" s="50"/>
      <c r="C193" s="60"/>
      <c r="D193" s="42"/>
      <c r="E193" s="50"/>
      <c r="F193" s="49"/>
      <c r="I193" s="42"/>
      <c r="J193" s="50"/>
      <c r="K193" s="50"/>
      <c r="R193" s="43"/>
      <c r="S193" s="43"/>
      <c r="T193" s="43"/>
      <c r="U193" s="43"/>
      <c r="V193" s="43"/>
      <c r="W193" s="43"/>
      <c r="X193" s="43"/>
      <c r="Z193" s="16" t="s">
        <v>399</v>
      </c>
      <c r="BY193" s="27">
        <v>123.905271</v>
      </c>
      <c r="BZ193" s="27">
        <v>123.90594400000001</v>
      </c>
      <c r="CA193" s="27">
        <v>123.90282500000001</v>
      </c>
      <c r="CB193" s="27">
        <v>123.906215</v>
      </c>
      <c r="CC193" s="27">
        <v>123.90612</v>
      </c>
      <c r="CD193" s="27">
        <v>123.91248</v>
      </c>
    </row>
    <row r="194" spans="2:87" x14ac:dyDescent="0.25">
      <c r="B194" s="50"/>
      <c r="C194" s="60"/>
      <c r="D194" s="42"/>
      <c r="E194" s="50"/>
      <c r="F194" s="49"/>
      <c r="I194" s="43"/>
      <c r="J194" s="43"/>
      <c r="K194" s="43"/>
      <c r="R194" s="43"/>
      <c r="S194" s="43"/>
      <c r="T194" s="43"/>
      <c r="U194" s="43"/>
      <c r="V194" s="43"/>
      <c r="W194" s="43"/>
      <c r="X194" s="43"/>
      <c r="Z194" s="16" t="s">
        <v>400</v>
      </c>
      <c r="BZ194" s="27">
        <v>124.905259</v>
      </c>
      <c r="CA194" s="27">
        <v>124.90443500000001</v>
      </c>
      <c r="CB194" s="27">
        <v>124.90462599999999</v>
      </c>
      <c r="CC194" s="27">
        <v>124.90649000000001</v>
      </c>
      <c r="CD194" s="27">
        <v>124.90978</v>
      </c>
    </row>
    <row r="195" spans="2:87" x14ac:dyDescent="0.25">
      <c r="B195" s="50"/>
      <c r="C195" s="60"/>
      <c r="D195" s="42"/>
      <c r="E195" s="50"/>
      <c r="F195" s="49"/>
      <c r="I195" s="43"/>
      <c r="J195" s="43"/>
      <c r="K195" s="43"/>
      <c r="R195" s="43"/>
      <c r="S195" s="43"/>
      <c r="T195" s="43"/>
      <c r="U195" s="43"/>
      <c r="V195" s="43"/>
      <c r="W195" s="43"/>
      <c r="X195" s="43"/>
      <c r="Z195" s="16" t="s">
        <v>401</v>
      </c>
      <c r="BZ195" s="27">
        <v>125.907245</v>
      </c>
      <c r="CA195" s="27">
        <v>125.90331</v>
      </c>
      <c r="CB195" s="27">
        <v>125.905624</v>
      </c>
      <c r="CC195" s="27">
        <v>125.905624</v>
      </c>
      <c r="CD195" s="27">
        <v>125.90947</v>
      </c>
      <c r="CE195" s="27">
        <v>125.91137000000001</v>
      </c>
    </row>
    <row r="196" spans="2:87" x14ac:dyDescent="0.25">
      <c r="B196" s="50"/>
      <c r="C196" s="60"/>
      <c r="D196" s="42"/>
      <c r="E196" s="50"/>
      <c r="F196" s="49"/>
      <c r="I196" s="43"/>
      <c r="J196" s="43"/>
      <c r="K196" s="43"/>
      <c r="R196" s="43"/>
      <c r="S196" s="43"/>
      <c r="T196" s="43"/>
      <c r="U196" s="43"/>
      <c r="V196" s="43"/>
      <c r="W196" s="43"/>
      <c r="X196" s="43"/>
      <c r="Z196" s="16" t="s">
        <v>402</v>
      </c>
      <c r="BZ196" s="27">
        <v>126.90692</v>
      </c>
      <c r="CA196" s="27">
        <v>126.90522199999999</v>
      </c>
      <c r="CB196" s="27">
        <v>126.904477</v>
      </c>
      <c r="CC196" s="27">
        <v>126.90519</v>
      </c>
      <c r="CD196" s="27">
        <v>126.907455</v>
      </c>
      <c r="CE196" s="27">
        <v>126.91116</v>
      </c>
    </row>
    <row r="197" spans="2:87" x14ac:dyDescent="0.25">
      <c r="B197" s="50"/>
      <c r="C197" s="60"/>
      <c r="D197" s="42"/>
      <c r="E197" s="50"/>
      <c r="F197" s="49"/>
      <c r="I197" s="43"/>
      <c r="J197" s="43"/>
      <c r="K197" s="43"/>
      <c r="R197" s="43"/>
      <c r="S197" s="43"/>
      <c r="T197" s="43"/>
      <c r="U197" s="43"/>
      <c r="V197" s="43"/>
      <c r="W197" s="43"/>
      <c r="X197" s="43"/>
      <c r="Z197" s="16" t="s">
        <v>403</v>
      </c>
      <c r="CA197" s="27">
        <v>127.904464</v>
      </c>
      <c r="CB197" s="27">
        <v>127.905815</v>
      </c>
      <c r="CC197" s="27">
        <v>127.9035308</v>
      </c>
      <c r="CD197" s="27">
        <v>127.907746</v>
      </c>
      <c r="CE197" s="27">
        <v>127.908232</v>
      </c>
    </row>
    <row r="198" spans="2:87" x14ac:dyDescent="0.25">
      <c r="B198" s="50"/>
      <c r="C198" s="60"/>
      <c r="D198" s="42"/>
      <c r="E198" s="50"/>
      <c r="F198" s="49"/>
      <c r="I198" s="43"/>
      <c r="J198" s="43"/>
      <c r="K198" s="43"/>
      <c r="R198" s="43"/>
      <c r="S198" s="43"/>
      <c r="T198" s="43"/>
      <c r="U198" s="43"/>
      <c r="V198" s="43"/>
      <c r="W198" s="43"/>
      <c r="X198" s="43"/>
      <c r="Z198" s="16" t="s">
        <v>404</v>
      </c>
      <c r="CA198" s="27">
        <v>128.90659500000001</v>
      </c>
      <c r="CB198" s="27">
        <v>128.90498600000001</v>
      </c>
      <c r="CC198" s="27">
        <v>128.90478010000001</v>
      </c>
      <c r="CD198" s="27">
        <v>128.90599800000001</v>
      </c>
      <c r="CE198" s="27">
        <v>128.908624</v>
      </c>
    </row>
    <row r="199" spans="2:87" x14ac:dyDescent="0.25">
      <c r="B199" s="50"/>
      <c r="C199" s="60"/>
      <c r="D199" s="42"/>
      <c r="E199" s="50"/>
      <c r="F199" s="49"/>
      <c r="H199" s="43"/>
      <c r="I199" s="43"/>
      <c r="J199" s="43"/>
      <c r="K199" s="43"/>
      <c r="R199" s="43"/>
      <c r="S199" s="43"/>
      <c r="T199" s="43"/>
      <c r="U199" s="43"/>
      <c r="V199" s="43"/>
      <c r="W199" s="43"/>
      <c r="X199" s="43"/>
      <c r="Z199" s="16" t="s">
        <v>405</v>
      </c>
      <c r="CA199" s="27">
        <v>129.906229</v>
      </c>
      <c r="CB199" s="27">
        <v>129.906713</v>
      </c>
      <c r="CC199" s="27">
        <v>129.90350950000001</v>
      </c>
      <c r="CD199" s="27">
        <v>129.90674999999999</v>
      </c>
      <c r="CE199" s="27">
        <v>129.90627699999999</v>
      </c>
      <c r="CF199" s="27">
        <v>129.91239999999999</v>
      </c>
    </row>
    <row r="200" spans="2:87" x14ac:dyDescent="0.25">
      <c r="B200" s="50"/>
      <c r="C200" s="60"/>
      <c r="D200" s="42"/>
      <c r="E200" s="50"/>
      <c r="F200" s="49"/>
      <c r="H200" s="43"/>
      <c r="I200" s="43"/>
      <c r="J200" s="43"/>
      <c r="K200" s="43"/>
      <c r="R200" s="43"/>
      <c r="S200" s="43"/>
      <c r="T200" s="43"/>
      <c r="U200" s="43"/>
      <c r="V200" s="43"/>
      <c r="W200" s="43"/>
      <c r="X200" s="43"/>
      <c r="Z200" s="16" t="s">
        <v>406</v>
      </c>
      <c r="CB200" s="27">
        <v>130.90611899999999</v>
      </c>
      <c r="CC200" s="27">
        <v>130.90507600000001</v>
      </c>
      <c r="CD200" s="27">
        <v>130.90545700000001</v>
      </c>
      <c r="CE200" s="27">
        <v>130.90689699999999</v>
      </c>
      <c r="CF200" s="27">
        <v>130.91006999999999</v>
      </c>
      <c r="CG200" s="27">
        <v>130.91469000000001</v>
      </c>
    </row>
    <row r="201" spans="2:87" x14ac:dyDescent="0.25">
      <c r="B201" s="50"/>
      <c r="C201" s="60"/>
      <c r="D201" s="42"/>
      <c r="E201" s="50"/>
      <c r="F201" s="49"/>
      <c r="H201" s="43"/>
      <c r="I201" s="43"/>
      <c r="J201" s="43"/>
      <c r="K201" s="43"/>
      <c r="R201" s="43"/>
      <c r="S201" s="43"/>
      <c r="T201" s="43"/>
      <c r="U201" s="43"/>
      <c r="V201" s="43"/>
      <c r="W201" s="43"/>
      <c r="X201" s="43"/>
      <c r="Z201" s="16" t="s">
        <v>407</v>
      </c>
      <c r="CB201" s="27">
        <v>131.90799200000001</v>
      </c>
      <c r="CC201" s="27">
        <v>131.90414799999999</v>
      </c>
      <c r="CD201" s="27">
        <v>131.90641500000001</v>
      </c>
      <c r="CE201" s="27">
        <v>131.90504200000001</v>
      </c>
      <c r="CF201" s="27">
        <v>131.9101</v>
      </c>
      <c r="CG201" s="27">
        <v>131.91159999999999</v>
      </c>
    </row>
    <row r="202" spans="2:87" x14ac:dyDescent="0.25">
      <c r="B202" s="50"/>
      <c r="C202" s="60"/>
      <c r="D202" s="42"/>
      <c r="E202" s="50"/>
      <c r="F202" s="49"/>
      <c r="H202" s="43"/>
      <c r="I202" s="43"/>
      <c r="J202" s="43"/>
      <c r="K202" s="43"/>
      <c r="R202" s="43"/>
      <c r="S202" s="43"/>
      <c r="T202" s="43"/>
      <c r="U202" s="43"/>
      <c r="V202" s="43"/>
      <c r="W202" s="43"/>
      <c r="X202" s="43"/>
      <c r="Z202" s="16" t="s">
        <v>408</v>
      </c>
      <c r="CB202" s="27">
        <v>132.907781</v>
      </c>
      <c r="CC202" s="27">
        <v>132.90589199999999</v>
      </c>
      <c r="CD202" s="27">
        <v>132.90543299999999</v>
      </c>
      <c r="CE202" s="27">
        <v>132.905992</v>
      </c>
      <c r="CF202" s="27">
        <v>132.90814</v>
      </c>
      <c r="CG202" s="27">
        <v>132.91179</v>
      </c>
    </row>
    <row r="203" spans="2:87" x14ac:dyDescent="0.25">
      <c r="B203" s="50"/>
      <c r="C203" s="60"/>
      <c r="D203" s="42"/>
      <c r="E203" s="50"/>
      <c r="F203" s="49"/>
      <c r="H203" s="43"/>
      <c r="I203" s="43"/>
      <c r="J203" s="43"/>
      <c r="K203" s="43"/>
      <c r="R203" s="43"/>
      <c r="S203" s="43"/>
      <c r="T203" s="43"/>
      <c r="U203" s="43"/>
      <c r="V203" s="43"/>
      <c r="W203" s="43"/>
      <c r="X203" s="43"/>
      <c r="Z203" s="16" t="s">
        <v>409</v>
      </c>
      <c r="CC203" s="27">
        <v>133.905395</v>
      </c>
      <c r="CD203" s="27">
        <v>133.9067</v>
      </c>
      <c r="CE203" s="27">
        <v>133.90449000000001</v>
      </c>
      <c r="CF203" s="27">
        <v>133.90846199999999</v>
      </c>
      <c r="CG203" s="27">
        <v>133.90899999999999</v>
      </c>
    </row>
    <row r="204" spans="2:87" x14ac:dyDescent="0.25">
      <c r="B204" s="50"/>
      <c r="C204" s="60"/>
      <c r="D204" s="42"/>
      <c r="E204" s="50"/>
      <c r="F204" s="49"/>
      <c r="H204" s="43"/>
      <c r="I204" s="43"/>
      <c r="J204" s="43"/>
      <c r="K204" s="43"/>
      <c r="R204" s="43"/>
      <c r="S204" s="43"/>
      <c r="T204" s="43"/>
      <c r="U204" s="43"/>
      <c r="V204" s="43"/>
      <c r="W204" s="43"/>
      <c r="X204" s="43"/>
      <c r="Z204" s="16" t="s">
        <v>410</v>
      </c>
      <c r="CC204" s="27">
        <v>134.90713199999999</v>
      </c>
      <c r="CD204" s="27">
        <v>134.905888</v>
      </c>
      <c r="CE204" s="27">
        <v>134.90566799999999</v>
      </c>
      <c r="CF204" s="27">
        <v>134.90695600000001</v>
      </c>
      <c r="CG204" s="27">
        <v>134.90923000000001</v>
      </c>
    </row>
    <row r="205" spans="2:87" x14ac:dyDescent="0.25">
      <c r="B205" s="50"/>
      <c r="C205" s="60"/>
      <c r="D205" s="42"/>
      <c r="E205" s="50"/>
      <c r="F205" s="49"/>
      <c r="H205" s="43"/>
      <c r="I205" s="43"/>
      <c r="J205" s="43"/>
      <c r="K205" s="43"/>
      <c r="R205" s="43"/>
      <c r="S205" s="43"/>
      <c r="T205" s="43"/>
      <c r="U205" s="43"/>
      <c r="V205" s="43"/>
      <c r="W205" s="43"/>
      <c r="X205" s="43"/>
      <c r="Z205" s="16" t="s">
        <v>411</v>
      </c>
      <c r="CC205" s="27">
        <v>135.907219</v>
      </c>
      <c r="CD205" s="27">
        <v>135.90729200000001</v>
      </c>
      <c r="CE205" s="27">
        <v>135.90455600000001</v>
      </c>
      <c r="CF205" s="27">
        <v>135.90763999999999</v>
      </c>
      <c r="CG205" s="27">
        <v>135.90714</v>
      </c>
      <c r="CH205" s="27">
        <v>135.91261</v>
      </c>
      <c r="CI205" s="27">
        <v>135.91498999999999</v>
      </c>
    </row>
    <row r="206" spans="2:87" x14ac:dyDescent="0.25">
      <c r="B206" s="50"/>
      <c r="C206" s="60"/>
      <c r="D206" s="42"/>
      <c r="E206" s="50"/>
      <c r="F206" s="49"/>
      <c r="H206" s="43"/>
      <c r="I206" s="43"/>
      <c r="J206" s="43"/>
      <c r="K206" s="43"/>
      <c r="R206" s="43"/>
      <c r="S206" s="43"/>
      <c r="T206" s="43"/>
      <c r="U206" s="43"/>
      <c r="V206" s="43"/>
      <c r="W206" s="43"/>
      <c r="X206" s="43"/>
      <c r="Z206" s="16" t="s">
        <v>412</v>
      </c>
      <c r="CD206" s="27">
        <v>136.90707499999999</v>
      </c>
      <c r="CE206" s="27">
        <v>136.90581599999999</v>
      </c>
      <c r="CF206" s="27">
        <v>136.90646000000001</v>
      </c>
      <c r="CG206" s="27">
        <v>136.90777</v>
      </c>
      <c r="CH206" s="27">
        <v>136.91067000000001</v>
      </c>
      <c r="CI206" s="27">
        <v>136.91475</v>
      </c>
    </row>
    <row r="207" spans="2:87" x14ac:dyDescent="0.25">
      <c r="B207" s="50"/>
      <c r="C207" s="60"/>
      <c r="D207" s="42"/>
      <c r="E207" s="50"/>
      <c r="F207" s="49"/>
      <c r="H207" s="43"/>
      <c r="I207" s="43"/>
      <c r="J207" s="43"/>
      <c r="K207" s="43"/>
      <c r="R207" s="43"/>
      <c r="S207" s="43"/>
      <c r="T207" s="43"/>
      <c r="U207" s="43"/>
      <c r="V207" s="43"/>
      <c r="W207" s="43"/>
      <c r="X207" s="43"/>
      <c r="Z207" s="16" t="s">
        <v>413</v>
      </c>
      <c r="CD207" s="27">
        <v>137.91113999999999</v>
      </c>
      <c r="CE207" s="27">
        <v>137.905236</v>
      </c>
      <c r="CF207" s="27">
        <v>137.90711400000001</v>
      </c>
      <c r="CG207" s="27">
        <v>137.90599599999999</v>
      </c>
      <c r="CH207" s="27">
        <v>137.91075900000001</v>
      </c>
      <c r="CI207" s="27">
        <v>137.91193999999999</v>
      </c>
    </row>
    <row r="208" spans="2:87" x14ac:dyDescent="0.25">
      <c r="B208" s="50"/>
      <c r="C208" s="60"/>
      <c r="D208" s="42"/>
      <c r="E208" s="50"/>
      <c r="F208" s="49"/>
      <c r="H208" s="43"/>
      <c r="I208" s="43"/>
      <c r="J208" s="43"/>
      <c r="K208" s="43"/>
      <c r="R208" s="43"/>
      <c r="S208" s="43"/>
      <c r="T208" s="43"/>
      <c r="U208" s="43"/>
      <c r="V208" s="43"/>
      <c r="W208" s="43"/>
      <c r="X208" s="43"/>
      <c r="Z208" s="16" t="s">
        <v>414</v>
      </c>
      <c r="CF208" s="27">
        <v>138.90635499999999</v>
      </c>
      <c r="CG208" s="27">
        <v>138.90663900000001</v>
      </c>
      <c r="CH208" s="27">
        <v>138.908907</v>
      </c>
      <c r="CI208" s="27">
        <v>138.91191000000001</v>
      </c>
    </row>
    <row r="209" spans="2:93" x14ac:dyDescent="0.25">
      <c r="B209" s="50"/>
      <c r="C209" s="60"/>
      <c r="D209" s="42"/>
      <c r="H209" s="43"/>
      <c r="I209" s="43"/>
      <c r="J209" s="43"/>
      <c r="K209" s="43"/>
      <c r="R209" s="43"/>
      <c r="S209" s="43"/>
      <c r="T209" s="43"/>
      <c r="U209" s="43"/>
      <c r="V209" s="43"/>
      <c r="W209" s="43"/>
      <c r="X209" s="43"/>
      <c r="Z209" s="16" t="s">
        <v>415</v>
      </c>
      <c r="CF209" s="27">
        <v>139.909479</v>
      </c>
      <c r="CG209" s="27">
        <v>139.90544199999999</v>
      </c>
      <c r="CH209" s="27">
        <v>139.90907899999999</v>
      </c>
      <c r="CI209" s="27">
        <v>139.90958000000001</v>
      </c>
    </row>
    <row r="210" spans="2:93" x14ac:dyDescent="0.25">
      <c r="B210" s="50"/>
      <c r="C210" s="60"/>
      <c r="D210" s="42"/>
      <c r="H210" s="43"/>
      <c r="I210" s="43"/>
      <c r="J210" s="43"/>
      <c r="K210" s="43"/>
      <c r="R210" s="43"/>
      <c r="S210" s="43"/>
      <c r="T210" s="43"/>
      <c r="U210" s="43"/>
      <c r="V210" s="43"/>
      <c r="W210" s="43"/>
      <c r="X210" s="43"/>
      <c r="Z210" s="16" t="s">
        <v>416</v>
      </c>
      <c r="CG210" s="27">
        <v>140.90827899999999</v>
      </c>
      <c r="CH210" s="27">
        <v>140.907657</v>
      </c>
      <c r="CI210" s="27">
        <v>140.909605</v>
      </c>
      <c r="CJ210" s="27">
        <v>140.91361000000001</v>
      </c>
    </row>
    <row r="211" spans="2:93" x14ac:dyDescent="0.25">
      <c r="B211" s="50"/>
      <c r="C211" s="60"/>
      <c r="D211" s="42"/>
      <c r="H211" s="43"/>
      <c r="I211" s="43"/>
      <c r="J211" s="43"/>
      <c r="K211" s="43"/>
      <c r="R211" s="43"/>
      <c r="S211" s="43"/>
      <c r="T211" s="43"/>
      <c r="U211" s="43"/>
      <c r="V211" s="43"/>
      <c r="W211" s="43"/>
      <c r="X211" s="43"/>
      <c r="Z211" s="16" t="s">
        <v>417</v>
      </c>
      <c r="CG211" s="27">
        <v>141.90924899999999</v>
      </c>
      <c r="CH211" s="27">
        <v>141.91004799999999</v>
      </c>
      <c r="CI211" s="27">
        <v>141.90773100000001</v>
      </c>
      <c r="CJ211" s="27">
        <v>141.91298</v>
      </c>
    </row>
    <row r="212" spans="2:93" x14ac:dyDescent="0.25">
      <c r="B212" s="50"/>
      <c r="C212" s="60"/>
      <c r="D212" s="42"/>
      <c r="H212" s="43"/>
      <c r="I212" s="43"/>
      <c r="J212" s="43"/>
      <c r="K212" s="43"/>
      <c r="R212" s="43"/>
      <c r="S212" s="43"/>
      <c r="T212" s="43"/>
      <c r="U212" s="43"/>
      <c r="V212" s="43"/>
      <c r="W212" s="43"/>
      <c r="X212" s="43"/>
      <c r="Z212" s="16" t="s">
        <v>418</v>
      </c>
      <c r="CH212" s="27">
        <v>142.91082700000001</v>
      </c>
      <c r="CI212" s="27">
        <v>142.90982299999999</v>
      </c>
      <c r="CJ212" s="27">
        <v>142.91094100000001</v>
      </c>
      <c r="CK212" s="27">
        <v>142.91464199999999</v>
      </c>
    </row>
    <row r="213" spans="2:93" x14ac:dyDescent="0.25">
      <c r="B213" s="50"/>
      <c r="C213" s="60"/>
      <c r="D213" s="42"/>
      <c r="H213" s="43"/>
      <c r="I213" s="43"/>
      <c r="J213" s="43"/>
      <c r="K213" s="43"/>
      <c r="R213" s="43"/>
      <c r="S213" s="43"/>
      <c r="T213" s="43"/>
      <c r="U213" s="43"/>
      <c r="V213" s="43"/>
      <c r="W213" s="43"/>
      <c r="X213" s="43"/>
      <c r="Z213" s="16" t="s">
        <v>419</v>
      </c>
      <c r="CH213" s="27">
        <v>143.91331199999999</v>
      </c>
      <c r="CI213" s="27">
        <v>143.91009600000001</v>
      </c>
      <c r="CJ213" s="27">
        <v>143.91259700000001</v>
      </c>
      <c r="CK213" s="27">
        <v>143.91200900000001</v>
      </c>
      <c r="CL213" s="27">
        <v>143.918802</v>
      </c>
    </row>
    <row r="214" spans="2:93" x14ac:dyDescent="0.25">
      <c r="B214" s="50"/>
      <c r="C214" s="60"/>
      <c r="D214" s="42"/>
      <c r="H214" s="43"/>
      <c r="I214" s="43"/>
      <c r="J214" s="43"/>
      <c r="K214" s="43"/>
      <c r="R214" s="43"/>
      <c r="S214" s="43"/>
      <c r="T214" s="43"/>
      <c r="U214" s="43"/>
      <c r="V214" s="43"/>
      <c r="W214" s="43"/>
      <c r="X214" s="43"/>
      <c r="Z214" s="16" t="s">
        <v>420</v>
      </c>
      <c r="CH214" s="27">
        <v>144.91452000000001</v>
      </c>
      <c r="CI214" s="27">
        <v>144.91258199999999</v>
      </c>
      <c r="CJ214" s="27">
        <v>144.91275400000001</v>
      </c>
      <c r="CK214" s="27">
        <v>144.91341299999999</v>
      </c>
      <c r="CL214" s="27">
        <v>144.91633300000001</v>
      </c>
    </row>
    <row r="215" spans="2:93" x14ac:dyDescent="0.25">
      <c r="B215" s="50"/>
      <c r="C215" s="60"/>
      <c r="D215" s="42"/>
      <c r="H215" s="43"/>
      <c r="I215" s="43"/>
      <c r="J215" s="43"/>
      <c r="K215" s="43"/>
      <c r="R215" s="43"/>
      <c r="S215" s="43"/>
      <c r="T215" s="43"/>
      <c r="U215" s="43"/>
      <c r="V215" s="43"/>
      <c r="W215" s="43"/>
      <c r="X215" s="43"/>
      <c r="Z215" s="16" t="s">
        <v>421</v>
      </c>
      <c r="CH215" s="27">
        <v>145.91750999999999</v>
      </c>
      <c r="CI215" s="27">
        <v>145.91312600000001</v>
      </c>
      <c r="CJ215" s="27">
        <v>145.914717</v>
      </c>
      <c r="CK215" s="27">
        <v>145.913061</v>
      </c>
      <c r="CL215" s="27">
        <v>145.91721899999999</v>
      </c>
      <c r="CM215" s="27">
        <v>145.91851</v>
      </c>
    </row>
    <row r="216" spans="2:93" x14ac:dyDescent="0.25">
      <c r="B216" s="50"/>
      <c r="C216" s="60"/>
      <c r="D216" s="42"/>
      <c r="H216" s="43"/>
      <c r="I216" s="43"/>
      <c r="J216" s="43"/>
      <c r="K216" s="43"/>
      <c r="R216" s="43"/>
      <c r="S216" s="43"/>
      <c r="T216" s="43"/>
      <c r="U216" s="43"/>
      <c r="V216" s="43"/>
      <c r="W216" s="43"/>
      <c r="X216" s="43"/>
      <c r="Z216" s="16" t="s">
        <v>422</v>
      </c>
      <c r="CH216" s="27">
        <v>146.91900999999999</v>
      </c>
      <c r="CI216" s="27">
        <v>146.91611</v>
      </c>
      <c r="CJ216" s="27">
        <v>146.91514799999999</v>
      </c>
      <c r="CK216" s="27">
        <v>146.914907</v>
      </c>
      <c r="CL216" s="27">
        <v>146.916764</v>
      </c>
      <c r="CM216" s="27">
        <v>146.919263</v>
      </c>
    </row>
    <row r="217" spans="2:93" x14ac:dyDescent="0.25">
      <c r="B217" s="50"/>
      <c r="C217" s="60"/>
      <c r="D217" s="42"/>
      <c r="H217" s="43"/>
      <c r="I217" s="43"/>
      <c r="J217" s="43"/>
      <c r="K217" s="43"/>
      <c r="R217" s="43"/>
      <c r="S217" s="43"/>
      <c r="T217" s="43"/>
      <c r="U217" s="43"/>
      <c r="V217" s="43"/>
      <c r="W217" s="43"/>
      <c r="X217" s="43"/>
      <c r="Z217" s="16" t="s">
        <v>423</v>
      </c>
      <c r="CI217" s="27">
        <v>147.916901</v>
      </c>
      <c r="CJ217" s="27">
        <v>147.91747699999999</v>
      </c>
      <c r="CK217" s="27">
        <v>147.91483199999999</v>
      </c>
      <c r="CL217" s="27">
        <v>147.918159</v>
      </c>
      <c r="CM217" s="27">
        <v>147.91812400000001</v>
      </c>
    </row>
    <row r="218" spans="2:93" x14ac:dyDescent="0.25">
      <c r="B218" s="50"/>
      <c r="C218" s="60"/>
      <c r="D218" s="42"/>
      <c r="H218" s="43"/>
      <c r="I218" s="43"/>
      <c r="J218" s="43"/>
      <c r="K218" s="43"/>
      <c r="R218" s="43"/>
      <c r="S218" s="43"/>
      <c r="T218" s="43"/>
      <c r="U218" s="43"/>
      <c r="V218" s="43"/>
      <c r="W218" s="43"/>
      <c r="X218" s="43"/>
      <c r="Z218" s="16" t="s">
        <v>424</v>
      </c>
      <c r="CI218" s="27">
        <v>148.92015699999999</v>
      </c>
      <c r="CJ218" s="27">
        <v>148.91834299999999</v>
      </c>
      <c r="CK218" s="27">
        <v>148.917193</v>
      </c>
      <c r="CL218" s="27">
        <v>148.91793999999999</v>
      </c>
      <c r="CM218" s="27">
        <v>148.919344</v>
      </c>
    </row>
    <row r="219" spans="2:93" x14ac:dyDescent="0.25">
      <c r="B219" s="50"/>
      <c r="C219" s="60"/>
      <c r="D219" s="42"/>
      <c r="H219" s="43"/>
      <c r="I219" s="43"/>
      <c r="J219" s="43"/>
      <c r="K219" s="43"/>
      <c r="R219" s="43"/>
      <c r="S219" s="43"/>
      <c r="T219" s="43"/>
      <c r="U219" s="43"/>
      <c r="V219" s="43"/>
      <c r="W219" s="43"/>
      <c r="X219" s="43"/>
      <c r="Z219" s="16" t="s">
        <v>425</v>
      </c>
      <c r="CI219" s="27">
        <v>149.92089999999999</v>
      </c>
      <c r="CJ219" s="27">
        <v>149.92104</v>
      </c>
      <c r="CK219" s="27">
        <v>149.91728499999999</v>
      </c>
      <c r="CL219" s="27">
        <v>149.919747</v>
      </c>
      <c r="CM219" s="27">
        <v>149.91866300000001</v>
      </c>
    </row>
    <row r="220" spans="2:93" x14ac:dyDescent="0.25">
      <c r="B220" s="50"/>
      <c r="C220" s="60"/>
      <c r="D220" s="42"/>
      <c r="H220" s="43"/>
      <c r="I220" s="43"/>
      <c r="J220" s="43"/>
      <c r="K220" s="43"/>
      <c r="R220" s="43"/>
      <c r="S220" s="43"/>
      <c r="T220" s="43"/>
      <c r="U220" s="43"/>
      <c r="V220" s="43"/>
      <c r="Z220" s="16" t="s">
        <v>426</v>
      </c>
      <c r="CJ220" s="27">
        <v>150.92121700000001</v>
      </c>
      <c r="CK220" s="27">
        <v>150.91994199999999</v>
      </c>
      <c r="CL220" s="27">
        <v>150.91986</v>
      </c>
      <c r="CM220" s="27">
        <v>150.920378</v>
      </c>
    </row>
    <row r="221" spans="2:93" x14ac:dyDescent="0.25">
      <c r="B221" s="50"/>
      <c r="C221" s="60"/>
      <c r="D221" s="42"/>
      <c r="H221" s="43"/>
      <c r="I221" s="43"/>
      <c r="J221" s="43"/>
      <c r="K221" s="43"/>
      <c r="R221" s="43"/>
      <c r="S221" s="43"/>
      <c r="T221" s="43"/>
      <c r="U221" s="43"/>
      <c r="V221" s="43"/>
      <c r="Z221" s="16" t="s">
        <v>427</v>
      </c>
      <c r="CJ221" s="27">
        <v>151.92347000000001</v>
      </c>
      <c r="CK221" s="27">
        <v>151.91974099999999</v>
      </c>
      <c r="CL221" s="27">
        <v>151.92175599999999</v>
      </c>
      <c r="CM221" s="27">
        <v>151.919803</v>
      </c>
      <c r="CN221" s="27">
        <v>151.923936</v>
      </c>
    </row>
    <row r="222" spans="2:93" x14ac:dyDescent="0.25">
      <c r="B222" s="50"/>
      <c r="C222" s="60"/>
      <c r="D222" s="42"/>
      <c r="H222" s="43"/>
      <c r="I222" s="43"/>
      <c r="J222" s="43"/>
      <c r="K222" s="43"/>
      <c r="R222" s="43"/>
      <c r="S222" s="43"/>
      <c r="T222" s="43"/>
      <c r="U222" s="43"/>
      <c r="V222" s="43"/>
      <c r="Z222" s="16" t="s">
        <v>428</v>
      </c>
      <c r="CK222" s="27">
        <v>152.92210700000001</v>
      </c>
      <c r="CL222" s="27">
        <v>152.921243</v>
      </c>
      <c r="CM222" s="27">
        <v>152.921505</v>
      </c>
      <c r="CN222" s="27">
        <v>152.92342600000001</v>
      </c>
    </row>
    <row r="223" spans="2:93" x14ac:dyDescent="0.25">
      <c r="B223" s="50"/>
      <c r="C223" s="60"/>
      <c r="D223" s="42"/>
      <c r="H223" s="43"/>
      <c r="I223" s="43"/>
      <c r="J223" s="43"/>
      <c r="K223" s="43"/>
      <c r="R223" s="43"/>
      <c r="S223" s="43"/>
      <c r="T223" s="43"/>
      <c r="U223" s="43"/>
      <c r="V223" s="43"/>
      <c r="Z223" s="16" t="s">
        <v>429</v>
      </c>
      <c r="CK223" s="27">
        <v>153.92221799999999</v>
      </c>
      <c r="CL223" s="27">
        <v>153.922999</v>
      </c>
      <c r="CM223" s="27">
        <v>153.92087599999999</v>
      </c>
      <c r="CN223" s="27">
        <v>153.92458999999999</v>
      </c>
      <c r="CO223" s="27">
        <v>153.924432</v>
      </c>
    </row>
    <row r="224" spans="2:93" x14ac:dyDescent="0.25">
      <c r="B224" s="50"/>
      <c r="C224" s="60"/>
      <c r="D224" s="42"/>
      <c r="H224" s="43"/>
      <c r="I224" s="43"/>
      <c r="J224" s="43"/>
      <c r="K224" s="43"/>
      <c r="R224" s="43"/>
      <c r="S224" s="43"/>
      <c r="T224" s="43"/>
      <c r="U224" s="43"/>
      <c r="V224" s="43"/>
      <c r="Z224" s="16" t="s">
        <v>430</v>
      </c>
      <c r="CL224" s="27">
        <v>154.92289299999999</v>
      </c>
      <c r="CM224" s="27">
        <v>154.922629</v>
      </c>
      <c r="CN224" s="27">
        <v>154.92350400000001</v>
      </c>
      <c r="CO224" s="27">
        <v>154.925758</v>
      </c>
    </row>
    <row r="225" spans="2:99" x14ac:dyDescent="0.25">
      <c r="B225" s="50"/>
      <c r="C225" s="60"/>
      <c r="D225" s="42"/>
      <c r="H225" s="43"/>
      <c r="I225" s="43"/>
      <c r="J225" s="43"/>
      <c r="K225" s="43"/>
      <c r="R225" s="43"/>
      <c r="S225" s="43"/>
      <c r="T225" s="43"/>
      <c r="U225" s="43"/>
      <c r="V225" s="43"/>
      <c r="Z225" s="16" t="s">
        <v>431</v>
      </c>
      <c r="CL225" s="27">
        <v>155.92476400000001</v>
      </c>
      <c r="CM225" s="27">
        <v>155.92213000000001</v>
      </c>
      <c r="CN225" s="27">
        <v>155.924747</v>
      </c>
      <c r="CO225" s="27">
        <v>155.92428699999999</v>
      </c>
      <c r="CP225" s="27">
        <v>155.92975999999999</v>
      </c>
    </row>
    <row r="226" spans="2:99" x14ac:dyDescent="0.25">
      <c r="B226" s="50"/>
      <c r="C226" s="60"/>
      <c r="D226" s="42"/>
      <c r="H226" s="43"/>
      <c r="I226" s="43"/>
      <c r="J226" s="43"/>
      <c r="K226" s="43"/>
      <c r="R226" s="43"/>
      <c r="S226" s="43"/>
      <c r="T226" s="43"/>
      <c r="U226" s="43"/>
      <c r="V226" s="43"/>
      <c r="Z226" s="16" t="s">
        <v>432</v>
      </c>
      <c r="CL226" s="27">
        <v>156.92542700000001</v>
      </c>
      <c r="CM226" s="27">
        <v>156.923967</v>
      </c>
      <c r="CN226" s="27">
        <v>156.92402899999999</v>
      </c>
      <c r="CO226" s="27">
        <v>156.92546999999999</v>
      </c>
      <c r="CP226" s="27">
        <v>156.9282</v>
      </c>
      <c r="CQ226" s="27">
        <v>156.93227999999999</v>
      </c>
    </row>
    <row r="227" spans="2:99" x14ac:dyDescent="0.25">
      <c r="B227" s="50"/>
      <c r="C227" s="60"/>
      <c r="D227" s="42"/>
      <c r="H227" s="43"/>
      <c r="I227" s="43"/>
      <c r="J227" s="43"/>
      <c r="K227" s="43"/>
      <c r="R227" s="43"/>
      <c r="S227" s="43"/>
      <c r="T227" s="43"/>
      <c r="U227" s="43"/>
      <c r="V227" s="43"/>
      <c r="Z227" s="16" t="s">
        <v>433</v>
      </c>
      <c r="CM227" s="27">
        <v>157.92411100000001</v>
      </c>
      <c r="CN227" s="27">
        <v>157.92541600000001</v>
      </c>
      <c r="CO227" s="27">
        <v>157.92441199999999</v>
      </c>
      <c r="CP227" s="27">
        <v>157.92868200000001</v>
      </c>
      <c r="CQ227" s="27">
        <v>157.93018000000001</v>
      </c>
    </row>
    <row r="228" spans="2:99" x14ac:dyDescent="0.25">
      <c r="B228" s="50"/>
      <c r="C228" s="60"/>
      <c r="D228" s="42"/>
      <c r="H228" s="43"/>
      <c r="I228" s="43"/>
      <c r="J228" s="43"/>
      <c r="K228" s="43"/>
      <c r="R228" s="43"/>
      <c r="S228" s="43"/>
      <c r="T228" s="43"/>
      <c r="U228" s="43"/>
      <c r="V228" s="43"/>
      <c r="Z228" s="16" t="s">
        <v>434</v>
      </c>
      <c r="CM228" s="27">
        <v>158.92639700000001</v>
      </c>
      <c r="CN228" s="27">
        <v>158.92535000000001</v>
      </c>
      <c r="CO228" s="27">
        <v>158.92574300000001</v>
      </c>
      <c r="CP228" s="27">
        <v>158.92773199999999</v>
      </c>
      <c r="CQ228" s="27">
        <v>158.93088</v>
      </c>
    </row>
    <row r="229" spans="2:99" x14ac:dyDescent="0.25">
      <c r="B229" s="50"/>
      <c r="C229" s="60"/>
      <c r="D229" s="42"/>
      <c r="H229" s="43"/>
      <c r="I229" s="43"/>
      <c r="J229" s="43"/>
      <c r="K229" s="43"/>
      <c r="R229" s="43"/>
      <c r="S229" s="43"/>
      <c r="T229" s="43"/>
      <c r="U229" s="43"/>
      <c r="Z229" s="16" t="s">
        <v>435</v>
      </c>
      <c r="CM229" s="27">
        <v>159.92706100000001</v>
      </c>
      <c r="CN229" s="27">
        <v>159.92717099999999</v>
      </c>
      <c r="CO229" s="27">
        <v>159.92520300000001</v>
      </c>
      <c r="CP229" s="27">
        <v>159.928731</v>
      </c>
      <c r="CQ229" s="27">
        <v>159.929091</v>
      </c>
    </row>
    <row r="230" spans="2:99" x14ac:dyDescent="0.25">
      <c r="B230" s="50"/>
      <c r="C230" s="60"/>
      <c r="D230" s="42"/>
      <c r="H230" s="43"/>
      <c r="I230" s="43"/>
      <c r="J230" s="43"/>
      <c r="K230" s="43"/>
      <c r="R230" s="43"/>
      <c r="S230" s="43"/>
      <c r="T230" s="43"/>
      <c r="U230" s="43"/>
      <c r="Z230" s="16" t="s">
        <v>436</v>
      </c>
      <c r="CN230" s="27">
        <v>160.927573</v>
      </c>
      <c r="CO230" s="27">
        <v>160.926939</v>
      </c>
      <c r="CP230" s="27">
        <v>160.92785499999999</v>
      </c>
      <c r="CQ230" s="27">
        <v>160.93000900000001</v>
      </c>
    </row>
    <row r="231" spans="2:99" x14ac:dyDescent="0.25">
      <c r="B231" s="50"/>
      <c r="C231" s="60"/>
      <c r="D231" s="42"/>
      <c r="H231" s="43"/>
      <c r="I231" s="43"/>
      <c r="J231" s="43"/>
      <c r="K231" s="43"/>
      <c r="R231" s="43"/>
      <c r="S231" s="43"/>
      <c r="T231" s="43"/>
      <c r="U231" s="43"/>
      <c r="Z231" s="16" t="s">
        <v>437</v>
      </c>
      <c r="CN231" s="27">
        <v>161.92939999999999</v>
      </c>
      <c r="CO231" s="27">
        <v>161.926805</v>
      </c>
      <c r="CP231" s="27">
        <v>161.92909700000001</v>
      </c>
      <c r="CQ231" s="27">
        <v>161.928787</v>
      </c>
      <c r="CR231" s="27">
        <v>161.93393</v>
      </c>
    </row>
    <row r="232" spans="2:99" x14ac:dyDescent="0.25">
      <c r="B232" s="50"/>
      <c r="C232" s="60"/>
      <c r="D232" s="42"/>
      <c r="H232" s="43"/>
      <c r="I232" s="43"/>
      <c r="J232" s="43"/>
      <c r="K232" s="43"/>
      <c r="R232" s="43"/>
      <c r="S232" s="43"/>
      <c r="T232" s="43"/>
      <c r="U232" s="43"/>
      <c r="Z232" s="16" t="s">
        <v>438</v>
      </c>
      <c r="CO232" s="27">
        <v>162.92873700000001</v>
      </c>
      <c r="CP232" s="27">
        <v>162.92873900000001</v>
      </c>
      <c r="CQ232" s="27">
        <v>162.93003999999999</v>
      </c>
    </row>
    <row r="233" spans="2:99" x14ac:dyDescent="0.25">
      <c r="B233" s="50"/>
      <c r="C233" s="60"/>
      <c r="D233" s="42"/>
      <c r="H233" s="43"/>
      <c r="I233" s="43"/>
      <c r="J233" s="43"/>
      <c r="K233" s="43"/>
      <c r="R233" s="43"/>
      <c r="S233" s="43"/>
      <c r="T233" s="43"/>
      <c r="U233" s="43"/>
      <c r="Z233" s="16" t="s">
        <v>439</v>
      </c>
      <c r="CO233" s="27">
        <v>163.92918299999999</v>
      </c>
      <c r="CP233" s="27">
        <v>163.93028699999999</v>
      </c>
      <c r="CQ233" s="27">
        <v>163.92921100000001</v>
      </c>
      <c r="CR233" s="27">
        <v>163.93346500000001</v>
      </c>
      <c r="CS233" s="27">
        <v>163.93465</v>
      </c>
    </row>
    <row r="234" spans="2:99" x14ac:dyDescent="0.25">
      <c r="B234" s="50"/>
      <c r="C234" s="60"/>
      <c r="D234" s="42"/>
      <c r="H234" s="43"/>
      <c r="I234" s="43"/>
      <c r="J234" s="43"/>
      <c r="K234" s="43"/>
      <c r="R234" s="43"/>
      <c r="S234" s="43"/>
      <c r="T234" s="43"/>
      <c r="U234" s="43"/>
      <c r="Z234" s="16" t="s">
        <v>440</v>
      </c>
      <c r="CP234" s="27">
        <v>164.93033199999999</v>
      </c>
      <c r="CQ234" s="27">
        <v>164.93073699999999</v>
      </c>
      <c r="CR234" s="27">
        <v>164.93244899999999</v>
      </c>
      <c r="CS234" s="27">
        <v>164.93541500000001</v>
      </c>
    </row>
    <row r="235" spans="2:99" x14ac:dyDescent="0.25">
      <c r="B235" s="50"/>
      <c r="C235" s="60"/>
      <c r="D235" s="42"/>
      <c r="H235" s="43"/>
      <c r="I235" s="43"/>
      <c r="J235" s="43"/>
      <c r="K235" s="43"/>
      <c r="R235" s="43"/>
      <c r="S235" s="43"/>
      <c r="T235" s="43"/>
      <c r="U235" s="43"/>
      <c r="Z235" s="16" t="s">
        <v>441</v>
      </c>
      <c r="CP235" s="27">
        <v>165.93229600000001</v>
      </c>
      <c r="CQ235" s="27">
        <v>165.930305</v>
      </c>
      <c r="CR235" s="27">
        <v>165.93357599999999</v>
      </c>
      <c r="CS235" s="27">
        <v>165.93388899999999</v>
      </c>
    </row>
    <row r="236" spans="2:99" x14ac:dyDescent="0.25">
      <c r="B236" s="50"/>
      <c r="C236" s="60"/>
      <c r="D236" s="42"/>
      <c r="H236" s="43"/>
      <c r="I236" s="43"/>
      <c r="J236" s="43"/>
      <c r="K236" s="43"/>
      <c r="R236" s="43"/>
      <c r="S236" s="43"/>
      <c r="T236" s="43"/>
      <c r="U236" s="43"/>
      <c r="Z236" s="16" t="s">
        <v>442</v>
      </c>
      <c r="CP236" s="27">
        <v>166.93310199999999</v>
      </c>
      <c r="CQ236" s="27">
        <v>166.932061</v>
      </c>
      <c r="CR236" s="27">
        <v>166.93286499999999</v>
      </c>
      <c r="CS236" s="27">
        <v>166.93496200000001</v>
      </c>
    </row>
    <row r="237" spans="2:99" x14ac:dyDescent="0.25">
      <c r="B237" s="50"/>
      <c r="C237" s="60"/>
      <c r="D237" s="42"/>
      <c r="H237" s="43"/>
      <c r="I237" s="43"/>
      <c r="J237" s="43"/>
      <c r="K237" s="43"/>
      <c r="R237" s="43"/>
      <c r="S237" s="43"/>
      <c r="T237" s="43"/>
      <c r="U237" s="43"/>
      <c r="Z237" s="16" t="s">
        <v>443</v>
      </c>
      <c r="CQ237" s="27">
        <v>167.93238299999999</v>
      </c>
      <c r="CR237" s="27">
        <v>167.93418600000001</v>
      </c>
      <c r="CS237" s="27">
        <v>167.933908</v>
      </c>
      <c r="CT237" s="27">
        <v>167.93870999999999</v>
      </c>
    </row>
    <row r="238" spans="2:99" x14ac:dyDescent="0.25">
      <c r="B238" s="50"/>
      <c r="C238" s="60"/>
      <c r="D238" s="42"/>
      <c r="H238" s="43"/>
      <c r="I238" s="43"/>
      <c r="J238" s="43"/>
      <c r="K238" s="43"/>
      <c r="R238" s="43"/>
      <c r="S238" s="43"/>
      <c r="T238" s="43"/>
      <c r="U238" s="43"/>
      <c r="Z238" s="16" t="s">
        <v>444</v>
      </c>
      <c r="CQ238" s="27">
        <v>168.93460300000001</v>
      </c>
      <c r="CR238" s="27">
        <v>168.934225</v>
      </c>
      <c r="CS238" s="27">
        <v>168.93520100000001</v>
      </c>
      <c r="CT238" s="27">
        <v>168.93786299999999</v>
      </c>
    </row>
    <row r="239" spans="2:99" x14ac:dyDescent="0.25">
      <c r="B239" s="50"/>
      <c r="C239" s="60"/>
      <c r="D239" s="42"/>
      <c r="H239" s="43"/>
      <c r="I239" s="43"/>
      <c r="J239" s="43"/>
      <c r="K239" s="43"/>
      <c r="R239" s="43"/>
      <c r="S239" s="43"/>
      <c r="T239" s="43"/>
      <c r="U239" s="43"/>
      <c r="Z239" s="16" t="s">
        <v>445</v>
      </c>
      <c r="CQ239" s="27">
        <v>169.93547599999999</v>
      </c>
      <c r="CR239" s="27">
        <v>169.935813</v>
      </c>
      <c r="CS239" s="27">
        <v>169.934774</v>
      </c>
      <c r="CT239" s="27">
        <v>169.93846600000001</v>
      </c>
      <c r="CU239" s="27">
        <v>169.93975</v>
      </c>
    </row>
    <row r="240" spans="2:99" x14ac:dyDescent="0.25">
      <c r="B240" s="50"/>
      <c r="C240" s="60"/>
      <c r="D240" s="42"/>
      <c r="H240" s="43"/>
      <c r="I240" s="43"/>
      <c r="J240" s="43"/>
      <c r="K240" s="43"/>
      <c r="R240" s="43"/>
      <c r="S240" s="43"/>
      <c r="T240" s="43"/>
      <c r="U240" s="43"/>
      <c r="Z240" s="16" t="s">
        <v>446</v>
      </c>
      <c r="CR240" s="27">
        <v>170.936442</v>
      </c>
      <c r="CS240" s="27">
        <v>170.93633800000001</v>
      </c>
      <c r="CT240" s="27">
        <v>170.937927</v>
      </c>
      <c r="CU240" s="27">
        <v>170.94063</v>
      </c>
    </row>
    <row r="241" spans="2:105" x14ac:dyDescent="0.25">
      <c r="B241" s="50"/>
      <c r="C241" s="60"/>
      <c r="D241" s="42"/>
      <c r="H241" s="43"/>
      <c r="I241" s="43"/>
      <c r="J241" s="43"/>
      <c r="K241" s="43"/>
      <c r="R241" s="43"/>
      <c r="S241" s="43"/>
      <c r="T241" s="43"/>
      <c r="U241" s="43"/>
      <c r="Z241" s="16" t="s">
        <v>447</v>
      </c>
      <c r="CR241" s="27">
        <v>171.9384</v>
      </c>
      <c r="CS241" s="27">
        <v>171.93639300000001</v>
      </c>
      <c r="CT241" s="27">
        <v>171.93910299999999</v>
      </c>
      <c r="CU241" s="27">
        <v>171.93952999999999</v>
      </c>
    </row>
    <row r="242" spans="2:105" x14ac:dyDescent="0.25">
      <c r="B242" s="50"/>
      <c r="C242" s="60"/>
      <c r="D242" s="42"/>
      <c r="H242" s="43"/>
      <c r="I242" s="43"/>
      <c r="J242" s="43"/>
      <c r="K242" s="43"/>
      <c r="R242" s="43"/>
      <c r="S242" s="43"/>
      <c r="T242" s="43"/>
      <c r="U242" s="43"/>
      <c r="Z242" s="16" t="s">
        <v>448</v>
      </c>
      <c r="CR242" s="27">
        <v>172.939639</v>
      </c>
      <c r="CS242" s="27">
        <v>172.939639</v>
      </c>
      <c r="CT242" s="27">
        <v>172.93894700000001</v>
      </c>
      <c r="CU242" s="27">
        <v>172.94066000000001</v>
      </c>
    </row>
    <row r="243" spans="2:105" x14ac:dyDescent="0.25">
      <c r="B243" s="50"/>
      <c r="C243" s="60"/>
      <c r="D243" s="42"/>
      <c r="H243" s="43"/>
      <c r="I243" s="43"/>
      <c r="J243" s="43"/>
      <c r="K243" s="43"/>
      <c r="R243" s="43"/>
      <c r="S243" s="43"/>
      <c r="T243" s="43"/>
      <c r="U243" s="43"/>
      <c r="Z243" s="16" t="s">
        <v>449</v>
      </c>
      <c r="CS243" s="27">
        <v>173.938873</v>
      </c>
      <c r="CT243" s="27">
        <v>173.94035299999999</v>
      </c>
      <c r="CU243" s="27">
        <v>173.940065</v>
      </c>
      <c r="CV243" s="27">
        <v>173.94418999999999</v>
      </c>
    </row>
    <row r="244" spans="2:105" x14ac:dyDescent="0.25">
      <c r="B244" s="50"/>
      <c r="C244" s="60"/>
      <c r="D244" s="42"/>
      <c r="H244" s="43"/>
      <c r="I244" s="43"/>
      <c r="J244" s="43"/>
      <c r="K244" s="43"/>
      <c r="R244" s="43"/>
      <c r="S244" s="43"/>
      <c r="T244" s="43"/>
      <c r="U244" s="43"/>
      <c r="Z244" s="16" t="s">
        <v>450</v>
      </c>
      <c r="CS244" s="27">
        <v>174.94128699999999</v>
      </c>
      <c r="CT244" s="27">
        <v>174.94078500000001</v>
      </c>
      <c r="CU244" s="27">
        <v>174.941441</v>
      </c>
    </row>
    <row r="245" spans="2:105" x14ac:dyDescent="0.25">
      <c r="B245" s="50"/>
      <c r="C245" s="60"/>
      <c r="D245" s="42"/>
      <c r="H245" s="43"/>
      <c r="I245" s="43"/>
      <c r="J245" s="43"/>
      <c r="K245" s="43"/>
      <c r="R245" s="43"/>
      <c r="S245" s="43"/>
      <c r="T245" s="43"/>
      <c r="U245" s="43"/>
      <c r="Z245" s="16" t="s">
        <v>451</v>
      </c>
      <c r="CS245" s="27">
        <v>175.942576</v>
      </c>
      <c r="CT245" s="27">
        <v>175.94269399999999</v>
      </c>
      <c r="CU245" s="27">
        <v>175.94141999999999</v>
      </c>
      <c r="CV245" s="27">
        <v>175.94475</v>
      </c>
      <c r="CW245" s="27">
        <v>175.94570999999999</v>
      </c>
    </row>
    <row r="246" spans="2:105" x14ac:dyDescent="0.25">
      <c r="B246" s="50"/>
      <c r="C246" s="60"/>
      <c r="D246" s="42"/>
      <c r="H246" s="43"/>
      <c r="I246" s="43"/>
      <c r="J246" s="43"/>
      <c r="K246" s="43"/>
      <c r="R246" s="43"/>
      <c r="S246" s="43"/>
      <c r="T246" s="43"/>
      <c r="U246" s="43"/>
      <c r="Z246" s="16" t="s">
        <v>452</v>
      </c>
      <c r="CT246" s="27">
        <v>176.94376600000001</v>
      </c>
      <c r="CU246" s="27">
        <v>176.94323299999999</v>
      </c>
      <c r="CV246" s="27">
        <v>176.94447600000001</v>
      </c>
      <c r="CW246" s="27">
        <v>176.94662</v>
      </c>
    </row>
    <row r="247" spans="2:105" x14ac:dyDescent="0.25">
      <c r="B247" s="50"/>
      <c r="C247" s="60"/>
      <c r="D247" s="42"/>
      <c r="H247" s="43"/>
      <c r="I247" s="43"/>
      <c r="J247" s="43"/>
      <c r="K247" s="43"/>
      <c r="R247" s="43"/>
      <c r="S247" s="43"/>
      <c r="T247" s="43"/>
      <c r="Z247" s="16" t="s">
        <v>453</v>
      </c>
      <c r="CT247" s="27">
        <v>177.946</v>
      </c>
      <c r="CU247" s="27">
        <v>177.94371000000001</v>
      </c>
      <c r="CV247" s="27">
        <v>177.94576000000001</v>
      </c>
      <c r="CW247" s="27">
        <v>177.94586000000001</v>
      </c>
    </row>
    <row r="248" spans="2:105" x14ac:dyDescent="0.25">
      <c r="B248" s="50"/>
      <c r="C248" s="60"/>
      <c r="D248" s="42"/>
      <c r="H248" s="43"/>
      <c r="I248" s="43"/>
      <c r="J248" s="43"/>
      <c r="K248" s="43"/>
      <c r="R248" s="43"/>
      <c r="S248" s="43"/>
      <c r="T248" s="43"/>
      <c r="Z248" s="16" t="s">
        <v>454</v>
      </c>
      <c r="CU248" s="27">
        <v>178.94582700000001</v>
      </c>
      <c r="CV248" s="27">
        <v>178.94595100000001</v>
      </c>
      <c r="CW248" s="27">
        <v>178.947093</v>
      </c>
    </row>
    <row r="249" spans="2:105" x14ac:dyDescent="0.25">
      <c r="B249" s="50"/>
      <c r="C249" s="60"/>
      <c r="D249" s="42"/>
      <c r="H249" s="43"/>
      <c r="I249" s="43"/>
      <c r="J249" s="43"/>
      <c r="K249" s="43"/>
      <c r="R249" s="43"/>
      <c r="S249" s="43"/>
      <c r="T249" s="43"/>
      <c r="Z249" s="16" t="s">
        <v>455</v>
      </c>
      <c r="CU249" s="27">
        <v>179.946561</v>
      </c>
      <c r="CV249" s="27">
        <v>179.94748899999999</v>
      </c>
      <c r="CW249" s="27">
        <v>179.94672700000001</v>
      </c>
      <c r="CX249" s="27">
        <v>179.95080100000001</v>
      </c>
    </row>
    <row r="250" spans="2:105" x14ac:dyDescent="0.25">
      <c r="B250" s="50"/>
      <c r="C250" s="60"/>
      <c r="D250" s="42"/>
      <c r="H250" s="43"/>
      <c r="I250" s="43"/>
      <c r="J250" s="43"/>
      <c r="K250" s="43"/>
      <c r="R250" s="43"/>
      <c r="S250" s="43"/>
      <c r="T250" s="43"/>
      <c r="Z250" s="16" t="s">
        <v>456</v>
      </c>
      <c r="CV250" s="27">
        <v>180.948014</v>
      </c>
      <c r="CW250" s="27">
        <v>180.948215</v>
      </c>
      <c r="CX250" s="27">
        <v>180.95015000000001</v>
      </c>
    </row>
    <row r="251" spans="2:105" x14ac:dyDescent="0.25">
      <c r="B251" s="50"/>
      <c r="C251" s="60"/>
      <c r="D251" s="42"/>
      <c r="H251" s="43"/>
      <c r="I251" s="43"/>
      <c r="J251" s="43"/>
      <c r="K251" s="43"/>
      <c r="R251" s="43"/>
      <c r="S251" s="43"/>
      <c r="T251" s="43"/>
      <c r="Z251" s="16" t="s">
        <v>457</v>
      </c>
      <c r="CV251" s="27">
        <v>181.95017000000001</v>
      </c>
      <c r="CW251" s="27">
        <v>181.94822500000001</v>
      </c>
      <c r="CX251" s="27">
        <v>181.95123000000001</v>
      </c>
      <c r="CY251" s="27">
        <v>181.95214000000001</v>
      </c>
    </row>
    <row r="252" spans="2:105" x14ac:dyDescent="0.25">
      <c r="B252" s="50"/>
      <c r="C252" s="60"/>
      <c r="D252" s="42"/>
      <c r="H252" s="43"/>
      <c r="I252" s="43"/>
      <c r="J252" s="43"/>
      <c r="K252" s="43"/>
      <c r="R252" s="43"/>
      <c r="S252" s="43"/>
      <c r="T252" s="43"/>
      <c r="Z252" s="16" t="s">
        <v>458</v>
      </c>
      <c r="CV252" s="27">
        <v>182.951391</v>
      </c>
      <c r="CW252" s="27">
        <v>182.950245</v>
      </c>
      <c r="CX252" s="27">
        <v>182.950841</v>
      </c>
      <c r="CY252" s="27">
        <v>182.95330999999999</v>
      </c>
    </row>
    <row r="253" spans="2:105" x14ac:dyDescent="0.25">
      <c r="B253" s="50"/>
      <c r="C253" s="60"/>
      <c r="D253" s="42"/>
      <c r="H253" s="43"/>
      <c r="I253" s="43"/>
      <c r="J253" s="43"/>
      <c r="K253" s="43"/>
      <c r="R253" s="43"/>
      <c r="S253" s="43"/>
      <c r="T253" s="43"/>
      <c r="Z253" s="16" t="s">
        <v>459</v>
      </c>
      <c r="CW253" s="27">
        <v>183.950953</v>
      </c>
      <c r="CX253" s="27">
        <v>183.95255900000001</v>
      </c>
      <c r="CY253" s="27">
        <v>183.95251400000001</v>
      </c>
      <c r="CZ253" s="27">
        <v>183.95758000000001</v>
      </c>
    </row>
    <row r="254" spans="2:105" x14ac:dyDescent="0.25">
      <c r="B254" s="50"/>
      <c r="C254" s="60"/>
      <c r="D254" s="42"/>
      <c r="H254" s="43"/>
      <c r="I254" s="43"/>
      <c r="J254" s="43"/>
      <c r="K254" s="43"/>
      <c r="R254" s="43"/>
      <c r="S254" s="43"/>
      <c r="T254" s="43"/>
      <c r="Z254" s="16" t="s">
        <v>460</v>
      </c>
      <c r="CW254" s="27">
        <v>184.953441</v>
      </c>
      <c r="CX254" s="27">
        <v>184.952977</v>
      </c>
      <c r="CY254" s="27">
        <v>184.95406600000001</v>
      </c>
      <c r="CZ254" s="27">
        <v>184.85675000000001</v>
      </c>
      <c r="DA254" s="27">
        <v>184.96082999999999</v>
      </c>
    </row>
    <row r="255" spans="2:105" x14ac:dyDescent="0.25">
      <c r="B255" s="50"/>
      <c r="C255" s="60"/>
      <c r="D255" s="42"/>
      <c r="H255" s="43"/>
      <c r="I255" s="43"/>
      <c r="J255" s="43"/>
      <c r="K255" s="43"/>
      <c r="R255" s="43"/>
      <c r="S255" s="43"/>
      <c r="T255" s="43"/>
      <c r="Z255" s="16" t="s">
        <v>461</v>
      </c>
      <c r="CW255" s="27">
        <v>185.95437699999999</v>
      </c>
      <c r="CX255" s="27">
        <v>185.95500799999999</v>
      </c>
      <c r="CY255" s="27">
        <v>185.95385200000001</v>
      </c>
      <c r="CZ255" s="27">
        <v>185.957965</v>
      </c>
      <c r="DA255" s="27">
        <v>185.95939000000001</v>
      </c>
    </row>
    <row r="256" spans="2:105" x14ac:dyDescent="0.25">
      <c r="B256" s="50"/>
      <c r="C256" s="60"/>
      <c r="D256" s="42"/>
      <c r="H256" s="43"/>
      <c r="I256" s="43"/>
      <c r="J256" s="43"/>
      <c r="K256" s="43"/>
      <c r="R256" s="43"/>
      <c r="S256" s="43"/>
      <c r="T256" s="43"/>
      <c r="Z256" s="16" t="s">
        <v>462</v>
      </c>
      <c r="CX256" s="27">
        <v>186.95576500000001</v>
      </c>
      <c r="CY256" s="27">
        <v>186.95576199999999</v>
      </c>
      <c r="CZ256" s="27">
        <v>186.95737</v>
      </c>
      <c r="DA256" s="27">
        <v>186.96048999999999</v>
      </c>
    </row>
    <row r="257" spans="2:109" x14ac:dyDescent="0.25">
      <c r="B257" s="50"/>
      <c r="C257" s="60"/>
      <c r="D257" s="42"/>
      <c r="H257" s="43"/>
      <c r="I257" s="43"/>
      <c r="J257" s="43"/>
      <c r="K257" s="43"/>
      <c r="R257" s="43"/>
      <c r="S257" s="43"/>
      <c r="T257" s="43"/>
      <c r="Z257" s="16" t="s">
        <v>463</v>
      </c>
      <c r="CX257" s="27">
        <v>187.95812599999999</v>
      </c>
      <c r="CY257" s="27">
        <v>187.95585</v>
      </c>
      <c r="CZ257" s="27">
        <v>187.95885899999999</v>
      </c>
      <c r="DA257" s="27">
        <v>187.95943399999999</v>
      </c>
    </row>
    <row r="258" spans="2:109" x14ac:dyDescent="0.25">
      <c r="B258" s="50"/>
      <c r="C258" s="60"/>
      <c r="D258" s="42"/>
      <c r="H258" s="43"/>
      <c r="I258" s="43"/>
      <c r="J258" s="43"/>
      <c r="K258" s="43"/>
      <c r="R258" s="43"/>
      <c r="S258" s="43"/>
      <c r="T258" s="43"/>
      <c r="Z258" s="16" t="s">
        <v>464</v>
      </c>
      <c r="CX258" s="27">
        <v>188.959238</v>
      </c>
      <c r="CY258" s="27">
        <v>188.958156</v>
      </c>
      <c r="CZ258" s="27">
        <v>188.95868999999999</v>
      </c>
      <c r="DA258" s="27">
        <v>188.96073999999999</v>
      </c>
    </row>
    <row r="259" spans="2:109" x14ac:dyDescent="0.25">
      <c r="B259" s="50"/>
      <c r="C259" s="60"/>
      <c r="D259" s="42"/>
      <c r="H259" s="43"/>
      <c r="I259" s="43"/>
      <c r="J259" s="43"/>
      <c r="K259" s="43"/>
      <c r="R259" s="43"/>
      <c r="S259" s="43"/>
      <c r="T259" s="43"/>
      <c r="Z259" s="16" t="s">
        <v>465</v>
      </c>
      <c r="CY259" s="27">
        <v>189.95845499999999</v>
      </c>
      <c r="CZ259" s="27">
        <v>189.9606</v>
      </c>
      <c r="DA259" s="27">
        <v>189.959937</v>
      </c>
      <c r="DB259" s="27">
        <v>189.96470600000001</v>
      </c>
    </row>
    <row r="260" spans="2:109" x14ac:dyDescent="0.25">
      <c r="B260" s="50"/>
      <c r="C260" s="60"/>
      <c r="D260" s="42"/>
      <c r="H260" s="43"/>
      <c r="I260" s="43"/>
      <c r="J260" s="43"/>
      <c r="K260" s="43"/>
      <c r="R260" s="43"/>
      <c r="S260" s="43"/>
      <c r="T260" s="43"/>
      <c r="Z260" s="16" t="s">
        <v>466</v>
      </c>
      <c r="CY260" s="27">
        <v>190.960936</v>
      </c>
      <c r="CZ260" s="27">
        <v>190.96060299999999</v>
      </c>
      <c r="DA260" s="27">
        <v>190.96167700000001</v>
      </c>
      <c r="DB260" s="27">
        <v>190.96364</v>
      </c>
    </row>
    <row r="261" spans="2:109" x14ac:dyDescent="0.25">
      <c r="B261" s="50"/>
      <c r="C261" s="60"/>
      <c r="D261" s="42"/>
      <c r="H261" s="43"/>
      <c r="I261" s="43"/>
      <c r="J261" s="43"/>
      <c r="K261" s="43"/>
      <c r="R261" s="43"/>
      <c r="S261" s="43"/>
      <c r="T261" s="43"/>
      <c r="Z261" s="16" t="s">
        <v>467</v>
      </c>
      <c r="CY261" s="27">
        <v>191.96148700000001</v>
      </c>
      <c r="CZ261" s="27">
        <v>191.962613</v>
      </c>
      <c r="DA261" s="27">
        <v>191.961049</v>
      </c>
      <c r="DB261" s="27">
        <v>191.964823</v>
      </c>
      <c r="DC261" s="27">
        <v>191.96567999999999</v>
      </c>
    </row>
    <row r="262" spans="2:109" x14ac:dyDescent="0.25">
      <c r="B262" s="50"/>
      <c r="C262" s="60"/>
      <c r="D262" s="42"/>
      <c r="H262" s="43"/>
      <c r="I262" s="43"/>
      <c r="J262" s="43"/>
      <c r="K262" s="43"/>
      <c r="R262" s="43"/>
      <c r="S262" s="43"/>
      <c r="T262" s="43"/>
      <c r="Z262" s="16" t="s">
        <v>468</v>
      </c>
      <c r="CY262" s="27">
        <v>192.964158</v>
      </c>
      <c r="CZ262" s="27">
        <v>192.962942</v>
      </c>
      <c r="DA262" s="27">
        <v>192.963008</v>
      </c>
      <c r="DB262" s="27">
        <v>192.96419</v>
      </c>
      <c r="DC262" s="27">
        <v>192.9667</v>
      </c>
    </row>
    <row r="263" spans="2:109" x14ac:dyDescent="0.25">
      <c r="B263" s="50"/>
      <c r="C263" s="60"/>
      <c r="D263" s="42"/>
      <c r="H263" s="43"/>
      <c r="I263" s="43"/>
      <c r="J263" s="43"/>
      <c r="K263" s="43"/>
      <c r="R263" s="43"/>
      <c r="S263" s="43"/>
      <c r="T263" s="43"/>
      <c r="Z263" s="16" t="s">
        <v>469</v>
      </c>
      <c r="CY263" s="27">
        <v>193.96519900000001</v>
      </c>
      <c r="CZ263" s="27">
        <v>193.96509499999999</v>
      </c>
      <c r="DA263" s="27">
        <v>193.96267900000001</v>
      </c>
      <c r="DB263" s="27">
        <v>193.965372</v>
      </c>
      <c r="DC263" s="27">
        <v>193.96542600000001</v>
      </c>
    </row>
    <row r="264" spans="2:109" x14ac:dyDescent="0.25">
      <c r="B264" s="50"/>
      <c r="C264" s="60"/>
      <c r="D264" s="42"/>
      <c r="H264" s="43"/>
      <c r="I264" s="43"/>
      <c r="J264" s="43"/>
      <c r="K264" s="43"/>
      <c r="R264" s="43"/>
      <c r="S264" s="43"/>
      <c r="T264" s="43"/>
      <c r="Z264" s="16" t="s">
        <v>470</v>
      </c>
      <c r="CZ264" s="27">
        <v>194.96597700000001</v>
      </c>
      <c r="DA264" s="27">
        <v>194.96478500000001</v>
      </c>
      <c r="DB264" s="27">
        <v>194.96503200000001</v>
      </c>
      <c r="DC264" s="27">
        <v>194.96665999999999</v>
      </c>
    </row>
    <row r="265" spans="2:109" x14ac:dyDescent="0.25">
      <c r="B265" s="50"/>
      <c r="C265" s="60"/>
      <c r="D265" s="42"/>
      <c r="H265" s="43"/>
      <c r="I265" s="43"/>
      <c r="J265" s="43"/>
      <c r="K265" s="43"/>
      <c r="R265" s="43"/>
      <c r="S265" s="43"/>
      <c r="T265" s="43"/>
      <c r="Z265" s="16" t="s">
        <v>471</v>
      </c>
      <c r="DA265" s="27">
        <v>195.964947</v>
      </c>
      <c r="DB265" s="27">
        <v>195.96654599999999</v>
      </c>
      <c r="DC265" s="27">
        <v>195.965812</v>
      </c>
      <c r="DD265" s="27">
        <v>195.97064</v>
      </c>
    </row>
    <row r="266" spans="2:109" x14ac:dyDescent="0.25">
      <c r="B266" s="50"/>
      <c r="C266" s="60"/>
      <c r="D266" s="42"/>
      <c r="H266" s="43"/>
      <c r="I266" s="43"/>
      <c r="J266" s="43"/>
      <c r="K266" s="43"/>
      <c r="R266" s="43"/>
      <c r="S266" s="43"/>
      <c r="T266" s="43"/>
      <c r="Z266" s="16" t="s">
        <v>472</v>
      </c>
      <c r="DA266" s="27">
        <v>196.967332</v>
      </c>
      <c r="DB266" s="27">
        <v>196.96655000000001</v>
      </c>
      <c r="DC266" s="27">
        <v>196.967005</v>
      </c>
      <c r="DD266" s="27">
        <v>196.96958000000001</v>
      </c>
    </row>
    <row r="267" spans="2:109" x14ac:dyDescent="0.25">
      <c r="B267" s="50"/>
      <c r="C267" s="60"/>
      <c r="D267" s="42"/>
      <c r="H267" s="43"/>
      <c r="I267" s="43"/>
      <c r="J267" s="43"/>
      <c r="K267" s="43"/>
      <c r="R267" s="43"/>
      <c r="S267" s="43"/>
      <c r="T267" s="43"/>
      <c r="Z267" s="16" t="s">
        <v>473</v>
      </c>
      <c r="DA267" s="27">
        <v>197.96789699999999</v>
      </c>
      <c r="DB267" s="27">
        <v>197.968233</v>
      </c>
      <c r="DC267" s="27">
        <v>197.96675999999999</v>
      </c>
      <c r="DD267" s="27">
        <v>197.97047000000001</v>
      </c>
      <c r="DE267" s="27">
        <v>197.97219000000001</v>
      </c>
    </row>
    <row r="268" spans="2:109" x14ac:dyDescent="0.25">
      <c r="B268" s="50"/>
      <c r="C268" s="60"/>
      <c r="D268" s="42"/>
      <c r="H268" s="43"/>
      <c r="I268" s="43"/>
      <c r="J268" s="43"/>
      <c r="K268" s="43"/>
      <c r="R268" s="43"/>
      <c r="S268" s="43"/>
      <c r="T268" s="43"/>
      <c r="Z268" s="16" t="s">
        <v>474</v>
      </c>
      <c r="DB268" s="27">
        <v>198.96875600000001</v>
      </c>
      <c r="DC268" s="27">
        <v>198.96826899999999</v>
      </c>
      <c r="DD268" s="27">
        <v>198.96985000000001</v>
      </c>
      <c r="DE268" s="27">
        <v>198.97286</v>
      </c>
    </row>
    <row r="269" spans="2:109" x14ac:dyDescent="0.25">
      <c r="B269" s="50"/>
      <c r="C269" s="60"/>
      <c r="D269" s="42"/>
      <c r="H269" s="43"/>
      <c r="I269" s="43"/>
      <c r="J269" s="43"/>
      <c r="K269" s="43"/>
      <c r="R269" s="43"/>
      <c r="S269" s="43"/>
      <c r="T269" s="43"/>
      <c r="Z269" s="16" t="s">
        <v>475</v>
      </c>
      <c r="DB269" s="27">
        <v>199.97068999999999</v>
      </c>
      <c r="DC269" s="27">
        <v>199.96831599999999</v>
      </c>
      <c r="DD269" s="27">
        <v>199.97094999999999</v>
      </c>
      <c r="DE269" s="27">
        <v>199.97192000000001</v>
      </c>
    </row>
    <row r="270" spans="2:109" x14ac:dyDescent="0.25">
      <c r="B270" s="50"/>
      <c r="C270" s="60"/>
      <c r="D270" s="42"/>
      <c r="H270" s="43"/>
      <c r="I270" s="43"/>
      <c r="J270" s="43"/>
      <c r="K270" s="43"/>
      <c r="R270" s="43"/>
      <c r="S270" s="43"/>
      <c r="T270" s="43"/>
      <c r="Z270" s="16" t="s">
        <v>476</v>
      </c>
      <c r="DB270" s="27">
        <v>200.97166000000001</v>
      </c>
      <c r="DC270" s="27">
        <v>200.970293</v>
      </c>
      <c r="DD270" s="27">
        <v>200.97081600000001</v>
      </c>
      <c r="DE270" s="27">
        <v>200.97281000000001</v>
      </c>
    </row>
    <row r="271" spans="2:109" x14ac:dyDescent="0.25">
      <c r="B271" s="50"/>
      <c r="C271" s="60"/>
      <c r="D271" s="42"/>
      <c r="H271" s="43"/>
      <c r="I271" s="43"/>
      <c r="J271" s="43"/>
      <c r="K271" s="43"/>
      <c r="R271" s="43"/>
      <c r="S271" s="43"/>
      <c r="T271" s="43"/>
      <c r="Z271" s="16" t="s">
        <v>477</v>
      </c>
      <c r="DC271" s="27">
        <v>201.97063199999999</v>
      </c>
      <c r="DD271" s="27">
        <v>201.97210100000001</v>
      </c>
      <c r="DE271" s="27">
        <v>201.97215</v>
      </c>
    </row>
    <row r="272" spans="2:109" x14ac:dyDescent="0.25">
      <c r="B272" s="50"/>
      <c r="C272" s="60"/>
      <c r="D272" s="42"/>
      <c r="H272" s="43"/>
      <c r="I272" s="43"/>
      <c r="J272" s="43"/>
      <c r="K272" s="43"/>
      <c r="R272" s="43"/>
      <c r="S272" s="43"/>
      <c r="T272" s="43"/>
      <c r="Z272" s="16" t="s">
        <v>478</v>
      </c>
      <c r="DC272" s="27">
        <v>202.97286399999999</v>
      </c>
      <c r="DD272" s="27">
        <v>202.97233600000001</v>
      </c>
      <c r="DE272" s="27">
        <v>202.97338199999999</v>
      </c>
    </row>
    <row r="273" spans="2:114" x14ac:dyDescent="0.25">
      <c r="B273" s="50"/>
      <c r="C273" s="60"/>
      <c r="D273" s="42"/>
      <c r="H273" s="43"/>
      <c r="I273" s="43"/>
      <c r="J273" s="43"/>
      <c r="K273" s="43"/>
      <c r="R273" s="43"/>
      <c r="S273" s="43"/>
      <c r="T273" s="43"/>
      <c r="Z273" s="16" t="s">
        <v>479</v>
      </c>
      <c r="DC273" s="27">
        <v>203.97348099999999</v>
      </c>
      <c r="DD273" s="27">
        <v>203.97385600000001</v>
      </c>
      <c r="DE273" s="27">
        <v>203.97303700000001</v>
      </c>
      <c r="DF273" s="27">
        <v>203.97765000000001</v>
      </c>
    </row>
    <row r="274" spans="2:114" x14ac:dyDescent="0.25">
      <c r="B274" s="50"/>
      <c r="C274" s="60"/>
      <c r="D274" s="42"/>
      <c r="H274" s="43"/>
      <c r="I274" s="43"/>
      <c r="J274" s="43"/>
      <c r="K274" s="43"/>
      <c r="R274" s="43"/>
      <c r="S274" s="43"/>
      <c r="T274" s="43"/>
      <c r="Z274" s="16" t="s">
        <v>480</v>
      </c>
      <c r="DD274" s="27">
        <v>204.97441000000001</v>
      </c>
      <c r="DE274" s="27">
        <v>204.97447500000001</v>
      </c>
      <c r="DF274" s="27">
        <v>204.97738100000001</v>
      </c>
    </row>
    <row r="275" spans="2:114" x14ac:dyDescent="0.25">
      <c r="B275" s="50"/>
      <c r="C275" s="60"/>
      <c r="D275" s="42"/>
      <c r="H275" s="43"/>
      <c r="I275" s="43"/>
      <c r="J275" s="43"/>
      <c r="K275" s="43"/>
      <c r="R275" s="43"/>
      <c r="S275" s="43"/>
      <c r="T275" s="43"/>
      <c r="Z275" s="16" t="s">
        <v>481</v>
      </c>
      <c r="DD275" s="27">
        <v>205.97609399999999</v>
      </c>
      <c r="DE275" s="27">
        <v>205.97445500000001</v>
      </c>
      <c r="DF275" s="27">
        <v>205.97849400000001</v>
      </c>
      <c r="DG275" s="27">
        <v>205.98047199999999</v>
      </c>
    </row>
    <row r="276" spans="2:114" x14ac:dyDescent="0.25">
      <c r="B276" s="50"/>
      <c r="C276" s="60"/>
      <c r="D276" s="42"/>
      <c r="H276" s="43"/>
      <c r="I276" s="43"/>
      <c r="J276" s="43"/>
      <c r="K276" s="43"/>
      <c r="R276" s="43"/>
      <c r="S276" s="43"/>
      <c r="T276" s="43"/>
      <c r="Z276" s="16" t="s">
        <v>482</v>
      </c>
      <c r="DE276" s="27">
        <v>206.97588500000001</v>
      </c>
      <c r="DF276" s="27">
        <v>206.97846699999999</v>
      </c>
      <c r="DG276" s="27">
        <v>206.98158900000001</v>
      </c>
    </row>
    <row r="277" spans="2:114" x14ac:dyDescent="0.25">
      <c r="B277" s="50"/>
      <c r="C277" s="60"/>
      <c r="D277" s="42"/>
      <c r="H277" s="43"/>
      <c r="I277" s="43"/>
      <c r="J277" s="43"/>
      <c r="K277" s="43"/>
      <c r="R277" s="43"/>
      <c r="S277" s="43"/>
      <c r="T277" s="43"/>
      <c r="Z277" s="16" t="s">
        <v>483</v>
      </c>
      <c r="DE277" s="27">
        <v>207.976641</v>
      </c>
      <c r="DF277" s="27">
        <v>207.97973300000001</v>
      </c>
      <c r="DG277" s="27">
        <v>207.98124000000001</v>
      </c>
    </row>
    <row r="278" spans="2:114" x14ac:dyDescent="0.25">
      <c r="B278" s="50"/>
      <c r="C278" s="60"/>
      <c r="D278" s="42"/>
      <c r="H278" s="43"/>
      <c r="I278" s="43"/>
      <c r="J278" s="43"/>
      <c r="K278" s="43"/>
      <c r="R278" s="43"/>
      <c r="S278" s="43"/>
      <c r="T278" s="43"/>
      <c r="Z278" s="16" t="s">
        <v>484</v>
      </c>
      <c r="DF278" s="27">
        <v>208.980388</v>
      </c>
      <c r="DG278" s="27">
        <v>208.98242200000001</v>
      </c>
      <c r="DH278" s="27">
        <v>208.986165</v>
      </c>
    </row>
    <row r="279" spans="2:114" x14ac:dyDescent="0.25">
      <c r="B279" s="50"/>
      <c r="C279" s="60"/>
      <c r="D279" s="42"/>
      <c r="H279" s="43"/>
      <c r="I279" s="43"/>
      <c r="J279" s="43"/>
      <c r="K279" s="43"/>
      <c r="R279" s="43"/>
      <c r="S279" s="43"/>
      <c r="T279" s="43"/>
      <c r="Z279" s="16" t="s">
        <v>485</v>
      </c>
      <c r="DE279" s="27">
        <v>209.98417799999999</v>
      </c>
      <c r="DF279" s="27">
        <v>209.98410999999999</v>
      </c>
      <c r="DG279" s="27">
        <v>209.98286400000001</v>
      </c>
      <c r="DH279" s="27">
        <v>209.987143</v>
      </c>
      <c r="DI279" s="27">
        <v>209.98968600000001</v>
      </c>
    </row>
    <row r="280" spans="2:114" x14ac:dyDescent="0.25">
      <c r="B280" s="50"/>
      <c r="C280" s="60"/>
      <c r="D280" s="42"/>
      <c r="H280" s="43"/>
      <c r="I280" s="43"/>
      <c r="J280" s="43"/>
      <c r="K280" s="43"/>
      <c r="R280" s="43"/>
      <c r="S280" s="43"/>
      <c r="T280" s="43"/>
      <c r="Z280" s="16" t="s">
        <v>486</v>
      </c>
      <c r="DF280" s="27">
        <v>210.98726300000001</v>
      </c>
      <c r="DG280" s="27">
        <v>210.98664099999999</v>
      </c>
      <c r="DH280" s="27">
        <v>210.98749000000001</v>
      </c>
      <c r="DI280" s="27">
        <v>210.99059500000001</v>
      </c>
      <c r="DJ280" s="27">
        <v>210.99547000000001</v>
      </c>
    </row>
    <row r="281" spans="2:114" x14ac:dyDescent="0.25">
      <c r="B281" s="50"/>
      <c r="C281" s="60"/>
      <c r="D281" s="42"/>
      <c r="H281" s="43"/>
      <c r="I281" s="43"/>
      <c r="J281" s="43"/>
      <c r="K281" s="43"/>
      <c r="R281" s="43"/>
      <c r="S281" s="43"/>
      <c r="T281" s="43"/>
      <c r="Z281" s="16" t="s">
        <v>487</v>
      </c>
      <c r="DH281" s="27">
        <v>211.99074100000001</v>
      </c>
      <c r="DI281" s="27">
        <v>211.99069700000001</v>
      </c>
      <c r="DJ281" s="27">
        <v>211.99603999999999</v>
      </c>
    </row>
    <row r="282" spans="2:114" x14ac:dyDescent="0.25">
      <c r="B282" s="50"/>
      <c r="C282" s="60"/>
      <c r="D282" s="42"/>
      <c r="H282" s="43"/>
      <c r="I282" s="43"/>
      <c r="J282" s="43"/>
      <c r="K282" s="43"/>
      <c r="R282" s="43"/>
      <c r="S282" s="43"/>
      <c r="T282" s="43"/>
      <c r="Z282" s="16" t="s">
        <v>488</v>
      </c>
      <c r="DH282" s="27">
        <v>212.99292600000001</v>
      </c>
    </row>
    <row r="283" spans="2:114" x14ac:dyDescent="0.25">
      <c r="B283" s="50"/>
      <c r="C283" s="60"/>
      <c r="D283" s="42"/>
      <c r="H283" s="43"/>
      <c r="I283" s="43"/>
      <c r="J283" s="43"/>
      <c r="K283" s="43"/>
      <c r="R283" s="43"/>
      <c r="S283" s="43"/>
      <c r="T283" s="43"/>
      <c r="Z283" s="16" t="s">
        <v>489</v>
      </c>
      <c r="DH283" s="27">
        <v>213.996362</v>
      </c>
    </row>
    <row r="284" spans="2:114" x14ac:dyDescent="0.25">
      <c r="B284" s="50"/>
      <c r="C284" s="60"/>
      <c r="D284" s="42"/>
      <c r="H284" s="43"/>
      <c r="I284" s="43"/>
      <c r="J284" s="43"/>
      <c r="K284" s="43"/>
      <c r="R284" s="43"/>
      <c r="S284" s="43"/>
      <c r="T284" s="43"/>
      <c r="Z284" s="16" t="s">
        <v>490</v>
      </c>
      <c r="DH284" s="27">
        <v>214.99864600000001</v>
      </c>
    </row>
    <row r="285" spans="2:114" x14ac:dyDescent="0.25">
      <c r="B285" s="50"/>
      <c r="C285" s="60"/>
      <c r="D285" s="42"/>
      <c r="H285" s="43"/>
      <c r="I285" s="43"/>
      <c r="J285" s="43"/>
      <c r="K285" s="43"/>
      <c r="R285" s="43"/>
      <c r="S285" s="43"/>
      <c r="T285" s="43"/>
      <c r="Z285" s="16" t="s">
        <v>491</v>
      </c>
      <c r="DH285" s="27">
        <v>216.00240099999999</v>
      </c>
    </row>
    <row r="286" spans="2:114" x14ac:dyDescent="0.25">
      <c r="B286" s="50"/>
      <c r="C286" s="60"/>
      <c r="D286" s="42"/>
      <c r="H286" s="43"/>
      <c r="I286" s="43"/>
      <c r="J286" s="43"/>
      <c r="K286" s="43"/>
      <c r="R286" s="43"/>
      <c r="S286" s="43"/>
      <c r="T286" s="43"/>
      <c r="Z286" s="16" t="s">
        <v>492</v>
      </c>
      <c r="DH286" s="27">
        <v>217.004704</v>
      </c>
    </row>
    <row r="287" spans="2:114" x14ac:dyDescent="0.25">
      <c r="B287" s="50"/>
      <c r="C287" s="60"/>
      <c r="D287" s="42"/>
      <c r="H287" s="43"/>
      <c r="I287" s="43"/>
      <c r="J287" s="43"/>
      <c r="K287" s="43"/>
      <c r="R287" s="43"/>
      <c r="S287" s="43"/>
      <c r="T287" s="43"/>
      <c r="Z287" s="16" t="s">
        <v>493</v>
      </c>
      <c r="DH287" s="27">
        <v>218.00869499999999</v>
      </c>
    </row>
    <row r="288" spans="2:114" x14ac:dyDescent="0.25">
      <c r="B288" s="50"/>
      <c r="C288" s="60"/>
      <c r="D288" s="42"/>
      <c r="H288" s="43"/>
      <c r="I288" s="43"/>
      <c r="J288" s="43"/>
      <c r="K288" s="43"/>
      <c r="R288" s="43"/>
      <c r="S288" s="43"/>
      <c r="T288" s="43"/>
      <c r="Z288" s="16" t="s">
        <v>494</v>
      </c>
      <c r="DH288" s="27">
        <v>219.01130000000001</v>
      </c>
      <c r="DI288" s="27">
        <v>219.009480102</v>
      </c>
    </row>
    <row r="289" spans="2:121" x14ac:dyDescent="0.25">
      <c r="B289" s="50"/>
      <c r="C289" s="60"/>
      <c r="D289" s="42"/>
      <c r="H289" s="43"/>
      <c r="I289" s="43"/>
      <c r="J289" s="43"/>
      <c r="K289" s="43"/>
      <c r="R289" s="43"/>
      <c r="S289" s="43"/>
      <c r="T289" s="43"/>
      <c r="Z289" s="16" t="s">
        <v>495</v>
      </c>
      <c r="DI289" s="27">
        <v>220.01137800000001</v>
      </c>
    </row>
    <row r="290" spans="2:121" x14ac:dyDescent="0.25">
      <c r="B290" s="50"/>
      <c r="C290" s="60"/>
      <c r="D290" s="42"/>
      <c r="H290" s="43"/>
      <c r="I290" s="43"/>
      <c r="J290" s="43"/>
      <c r="K290" s="43"/>
      <c r="R290" s="43"/>
      <c r="S290" s="43"/>
      <c r="T290" s="43"/>
      <c r="Z290" s="16" t="s">
        <v>496</v>
      </c>
      <c r="DI290" s="27">
        <v>221.01544000000001</v>
      </c>
    </row>
    <row r="291" spans="2:121" x14ac:dyDescent="0.25">
      <c r="B291" s="50"/>
      <c r="C291" s="60"/>
      <c r="D291" s="42"/>
      <c r="H291" s="43"/>
      <c r="I291" s="43"/>
      <c r="J291" s="43"/>
      <c r="K291" s="43"/>
      <c r="R291" s="43"/>
      <c r="S291" s="43"/>
      <c r="T291" s="43"/>
      <c r="Z291" s="16" t="s">
        <v>497</v>
      </c>
      <c r="DI291" s="27">
        <v>222.01760999999999</v>
      </c>
      <c r="DJ291" s="27">
        <v>222.017539</v>
      </c>
    </row>
    <row r="292" spans="2:121" x14ac:dyDescent="0.25">
      <c r="B292" s="50"/>
      <c r="C292" s="60"/>
      <c r="D292" s="42"/>
      <c r="H292" s="43"/>
      <c r="I292" s="43"/>
      <c r="J292" s="43"/>
      <c r="K292" s="43"/>
      <c r="R292" s="43"/>
      <c r="S292" s="43"/>
      <c r="T292" s="43"/>
      <c r="Z292" s="16" t="s">
        <v>498</v>
      </c>
      <c r="DJ292" s="27">
        <v>223.01975999999999</v>
      </c>
      <c r="DK292" s="27">
        <v>223.01853</v>
      </c>
      <c r="DL292" s="27">
        <v>223.01912999999999</v>
      </c>
    </row>
    <row r="293" spans="2:121" x14ac:dyDescent="0.25">
      <c r="B293" s="50"/>
      <c r="C293" s="60"/>
      <c r="D293" s="42"/>
      <c r="H293" s="43"/>
      <c r="I293" s="43"/>
      <c r="J293" s="43"/>
      <c r="K293" s="43"/>
      <c r="R293" s="43"/>
      <c r="S293" s="43"/>
      <c r="T293" s="43"/>
      <c r="Z293" s="16" t="s">
        <v>499</v>
      </c>
      <c r="DJ293" s="27">
        <v>224.02331000000001</v>
      </c>
      <c r="DK293" s="27">
        <v>224.020196</v>
      </c>
    </row>
    <row r="294" spans="2:121" x14ac:dyDescent="0.25">
      <c r="B294" s="50"/>
      <c r="C294" s="60"/>
      <c r="D294" s="42"/>
      <c r="H294" s="43"/>
      <c r="I294" s="43"/>
      <c r="J294" s="43"/>
      <c r="K294" s="43"/>
      <c r="R294" s="43"/>
      <c r="S294" s="43"/>
      <c r="T294" s="43"/>
      <c r="Z294" s="16" t="s">
        <v>500</v>
      </c>
      <c r="DK294" s="27">
        <v>225.023604199</v>
      </c>
      <c r="DL294" s="27">
        <v>225.02323000000001</v>
      </c>
      <c r="DM294" s="27">
        <v>225.02395999999999</v>
      </c>
    </row>
    <row r="295" spans="2:121" x14ac:dyDescent="0.25">
      <c r="B295" s="50"/>
      <c r="C295" s="60"/>
      <c r="D295" s="42"/>
      <c r="H295" s="43"/>
      <c r="I295" s="43"/>
      <c r="J295" s="43"/>
      <c r="K295" s="43"/>
      <c r="R295" s="43"/>
      <c r="S295" s="43"/>
      <c r="T295" s="43"/>
      <c r="Z295" s="16" t="s">
        <v>501</v>
      </c>
      <c r="DK295" s="27">
        <v>226.02544</v>
      </c>
      <c r="DL295" s="27">
        <v>226.02608799999999</v>
      </c>
      <c r="DM295" s="27">
        <v>226.02492000000001</v>
      </c>
      <c r="DN295" s="27">
        <v>226.02789000000001</v>
      </c>
    </row>
    <row r="296" spans="2:121" x14ac:dyDescent="0.25">
      <c r="B296" s="50"/>
      <c r="C296" s="60"/>
      <c r="D296" s="42"/>
      <c r="H296" s="43"/>
      <c r="I296" s="43"/>
      <c r="J296" s="43"/>
      <c r="K296" s="43"/>
      <c r="R296" s="43"/>
      <c r="S296" s="43"/>
      <c r="T296" s="43"/>
      <c r="Z296" s="16" t="s">
        <v>502</v>
      </c>
      <c r="DL296" s="27">
        <v>227.02777</v>
      </c>
      <c r="DM296" s="27">
        <v>227.02772999999999</v>
      </c>
      <c r="DN296" s="27">
        <v>227.02879999999999</v>
      </c>
    </row>
    <row r="297" spans="2:121" x14ac:dyDescent="0.25">
      <c r="B297" s="50"/>
      <c r="C297" s="60"/>
      <c r="D297" s="42"/>
      <c r="H297" s="43"/>
      <c r="I297" s="43"/>
      <c r="J297" s="43"/>
      <c r="K297" s="43"/>
      <c r="R297" s="43"/>
      <c r="S297" s="43"/>
      <c r="T297" s="43"/>
      <c r="Z297" s="16" t="s">
        <v>503</v>
      </c>
      <c r="DL297" s="27">
        <v>228.03102000000001</v>
      </c>
      <c r="DM297" s="27">
        <v>228.02874</v>
      </c>
      <c r="DN297" s="27">
        <v>228.03101000000001</v>
      </c>
    </row>
    <row r="298" spans="2:121" x14ac:dyDescent="0.25">
      <c r="B298" s="50"/>
      <c r="C298" s="60"/>
      <c r="D298" s="42"/>
      <c r="H298" s="43"/>
      <c r="I298" s="43"/>
      <c r="J298" s="43"/>
      <c r="K298" s="43"/>
      <c r="R298" s="43"/>
      <c r="S298" s="43"/>
      <c r="T298" s="43"/>
      <c r="Z298" s="16" t="s">
        <v>504</v>
      </c>
      <c r="DL298" s="27">
        <v>229.03298000000001</v>
      </c>
      <c r="DM298" s="27">
        <v>229.03178</v>
      </c>
      <c r="DN298" s="27">
        <v>229.03210000000001</v>
      </c>
    </row>
    <row r="299" spans="2:121" x14ac:dyDescent="0.25">
      <c r="B299" s="50"/>
      <c r="C299" s="60"/>
      <c r="D299" s="42"/>
      <c r="H299" s="43"/>
      <c r="I299" s="43"/>
      <c r="J299" s="43"/>
      <c r="K299" s="43"/>
      <c r="R299" s="43"/>
      <c r="S299" s="43"/>
      <c r="T299" s="43"/>
      <c r="Z299" s="16" t="s">
        <v>505</v>
      </c>
      <c r="DM299" s="27">
        <v>230.03316000000001</v>
      </c>
      <c r="DN299" s="27">
        <v>230.03456</v>
      </c>
    </row>
    <row r="300" spans="2:121" x14ac:dyDescent="0.25">
      <c r="B300" s="50"/>
      <c r="C300" s="60"/>
      <c r="D300" s="42"/>
      <c r="H300" s="43"/>
      <c r="I300" s="43"/>
      <c r="J300" s="43"/>
      <c r="K300" s="43"/>
      <c r="R300" s="43"/>
      <c r="S300" s="43"/>
      <c r="T300" s="43"/>
      <c r="Z300" s="16" t="s">
        <v>506</v>
      </c>
      <c r="DM300" s="27">
        <v>231.03629856399999</v>
      </c>
      <c r="DN300" s="27">
        <v>231.0359</v>
      </c>
      <c r="DO300" s="27">
        <v>231.03630000000001</v>
      </c>
      <c r="DP300" s="27">
        <v>231.03829999999999</v>
      </c>
    </row>
    <row r="301" spans="2:121" x14ac:dyDescent="0.25">
      <c r="B301" s="50"/>
      <c r="C301" s="60"/>
      <c r="D301" s="42"/>
      <c r="H301" s="43"/>
      <c r="I301" s="43"/>
      <c r="J301" s="43"/>
      <c r="K301" s="43"/>
      <c r="R301" s="43"/>
      <c r="S301" s="43"/>
      <c r="T301" s="43"/>
      <c r="Z301" s="16" t="s">
        <v>507</v>
      </c>
      <c r="DM301" s="27">
        <v>232.03807</v>
      </c>
      <c r="DN301" s="27">
        <v>232.03857600000001</v>
      </c>
      <c r="DO301" s="27">
        <v>232.03715</v>
      </c>
      <c r="DP301" s="27">
        <v>232.04004</v>
      </c>
    </row>
    <row r="302" spans="2:121" x14ac:dyDescent="0.25">
      <c r="B302" s="50"/>
      <c r="C302" s="60"/>
      <c r="D302" s="42"/>
      <c r="H302" s="43"/>
      <c r="I302" s="43"/>
      <c r="J302" s="43"/>
      <c r="K302" s="43"/>
      <c r="R302" s="43"/>
      <c r="S302" s="43"/>
      <c r="T302" s="43"/>
      <c r="Z302" s="16" t="s">
        <v>508</v>
      </c>
      <c r="DN302" s="27">
        <v>233.040243702</v>
      </c>
      <c r="DO302" s="27">
        <v>233.03964999999999</v>
      </c>
      <c r="DP302" s="27">
        <v>233.04079999999999</v>
      </c>
    </row>
    <row r="303" spans="2:121" x14ac:dyDescent="0.25">
      <c r="B303" s="50"/>
      <c r="C303" s="60"/>
      <c r="D303" s="42"/>
      <c r="H303" s="43"/>
      <c r="I303" s="43"/>
      <c r="J303" s="43"/>
      <c r="K303" s="43"/>
      <c r="R303" s="43"/>
      <c r="S303" s="43"/>
      <c r="T303" s="43"/>
      <c r="Z303" s="16" t="s">
        <v>509</v>
      </c>
      <c r="DN303" s="27">
        <v>234.043316</v>
      </c>
      <c r="DO303" s="27">
        <v>234.04097999999999</v>
      </c>
      <c r="DP303" s="27">
        <v>234.042888</v>
      </c>
    </row>
    <row r="304" spans="2:121" x14ac:dyDescent="0.25">
      <c r="B304" s="50"/>
      <c r="C304" s="60"/>
      <c r="D304" s="42"/>
      <c r="H304" s="43"/>
      <c r="I304" s="43"/>
      <c r="J304" s="43"/>
      <c r="K304" s="43"/>
      <c r="R304" s="43"/>
      <c r="S304" s="43"/>
      <c r="T304" s="43"/>
      <c r="Z304" s="16" t="s">
        <v>510</v>
      </c>
      <c r="DN304" s="27">
        <v>235.04543000000001</v>
      </c>
      <c r="DO304" s="27">
        <v>235.04393999999999</v>
      </c>
      <c r="DP304" s="27">
        <v>235.04408000000001</v>
      </c>
      <c r="DQ304" s="27">
        <v>234.04526999999999</v>
      </c>
    </row>
    <row r="305" spans="2:121" x14ac:dyDescent="0.25">
      <c r="B305" s="50"/>
      <c r="C305" s="60"/>
      <c r="D305" s="42"/>
      <c r="H305" s="43"/>
      <c r="I305" s="43"/>
      <c r="J305" s="43"/>
      <c r="K305" s="43"/>
      <c r="R305" s="43"/>
      <c r="S305" s="43"/>
      <c r="T305" s="43"/>
      <c r="Z305" s="16" t="s">
        <v>511</v>
      </c>
      <c r="DO305" s="27">
        <v>236.04558</v>
      </c>
      <c r="DP305" s="27">
        <v>236.04661999999999</v>
      </c>
      <c r="DQ305" s="27">
        <v>236.046043</v>
      </c>
    </row>
    <row r="306" spans="2:121" x14ac:dyDescent="0.25">
      <c r="B306" s="50"/>
      <c r="C306" s="60"/>
      <c r="D306" s="42"/>
      <c r="H306" s="43"/>
      <c r="I306" s="43"/>
      <c r="J306" s="43"/>
      <c r="K306" s="43"/>
      <c r="R306" s="43"/>
      <c r="S306" s="43"/>
      <c r="T306" s="43"/>
      <c r="Z306" s="16" t="s">
        <v>512</v>
      </c>
      <c r="DO306" s="27">
        <v>237.04872642999999</v>
      </c>
      <c r="DP306" s="27">
        <v>237.04819000000001</v>
      </c>
      <c r="DQ306" s="27">
        <v>237.04840200000001</v>
      </c>
    </row>
    <row r="307" spans="2:121" x14ac:dyDescent="0.25">
      <c r="B307" s="50"/>
      <c r="C307" s="60"/>
      <c r="D307" s="42"/>
      <c r="H307" s="43"/>
      <c r="I307" s="43"/>
      <c r="J307" s="43"/>
      <c r="K307" s="43"/>
      <c r="R307" s="43"/>
      <c r="S307" s="43"/>
      <c r="T307" s="43"/>
      <c r="Z307" s="16" t="s">
        <v>513</v>
      </c>
      <c r="DO307" s="27">
        <v>238.05081999999999</v>
      </c>
      <c r="DP307" s="27">
        <v>238.050942091</v>
      </c>
      <c r="DQ307" s="27">
        <v>238.04955522700001</v>
      </c>
    </row>
    <row r="308" spans="2:121" x14ac:dyDescent="0.25">
      <c r="B308" s="50"/>
      <c r="C308" s="60"/>
      <c r="D308" s="42"/>
      <c r="H308" s="43"/>
      <c r="I308" s="43"/>
      <c r="J308" s="43"/>
      <c r="K308" s="43"/>
      <c r="R308" s="43"/>
      <c r="S308" s="43"/>
      <c r="T308" s="43"/>
      <c r="Z308" s="16" t="s">
        <v>514</v>
      </c>
      <c r="DO308" s="27">
        <v>239.05429100000001</v>
      </c>
      <c r="DP308" s="27">
        <v>239.052932196</v>
      </c>
      <c r="DQ308" s="27">
        <v>239.05215778100001</v>
      </c>
    </row>
    <row r="309" spans="2:121" x14ac:dyDescent="0.25">
      <c r="B309" s="50"/>
      <c r="C309" s="60"/>
      <c r="D309" s="42"/>
      <c r="H309" s="43"/>
      <c r="I309" s="43"/>
      <c r="J309" s="43"/>
      <c r="K309" s="43"/>
      <c r="R309" s="43"/>
      <c r="S309" s="43"/>
      <c r="T309" s="43"/>
      <c r="Z309" s="16" t="s">
        <v>515</v>
      </c>
      <c r="DP309" s="27">
        <v>240.05605</v>
      </c>
      <c r="DQ309" s="27">
        <v>240.05380865699999</v>
      </c>
    </row>
    <row r="310" spans="2:121" x14ac:dyDescent="0.25">
      <c r="B310" s="50"/>
      <c r="C310" s="60"/>
      <c r="D310" s="42"/>
      <c r="H310" s="43"/>
      <c r="I310" s="43"/>
      <c r="J310" s="43"/>
      <c r="K310" s="43"/>
      <c r="R310" s="43"/>
      <c r="S310" s="43"/>
      <c r="T310" s="43"/>
      <c r="Z310" s="27">
        <v>241</v>
      </c>
    </row>
    <row r="311" spans="2:121" x14ac:dyDescent="0.25">
      <c r="B311" s="50"/>
      <c r="C311" s="60"/>
      <c r="D311" s="42"/>
      <c r="H311" s="43"/>
      <c r="I311" s="43"/>
      <c r="J311" s="43"/>
      <c r="K311" s="43"/>
      <c r="R311" s="43"/>
      <c r="S311" s="43"/>
      <c r="T311" s="43"/>
    </row>
    <row r="312" spans="2:121" x14ac:dyDescent="0.25">
      <c r="B312" s="50"/>
      <c r="C312" s="60"/>
      <c r="D312" s="42"/>
      <c r="H312" s="43"/>
      <c r="I312" s="43"/>
      <c r="J312" s="43"/>
      <c r="K312" s="43"/>
      <c r="R312" s="43"/>
      <c r="S312" s="43"/>
      <c r="T312" s="43"/>
    </row>
    <row r="313" spans="2:121" x14ac:dyDescent="0.25">
      <c r="K313" s="43"/>
      <c r="R313" s="43"/>
      <c r="S313" s="43"/>
      <c r="T313" s="43"/>
    </row>
    <row r="314" spans="2:121" x14ac:dyDescent="0.25">
      <c r="K314" s="43"/>
      <c r="R314" s="43"/>
      <c r="S314" s="43"/>
      <c r="T314" s="43"/>
    </row>
    <row r="315" spans="2:121" x14ac:dyDescent="0.25">
      <c r="K315" s="43"/>
      <c r="R315" s="43"/>
      <c r="S315" s="43"/>
      <c r="T315" s="43"/>
    </row>
    <row r="316" spans="2:121" x14ac:dyDescent="0.25">
      <c r="K316" s="43"/>
      <c r="R316" s="43"/>
      <c r="S316" s="43"/>
      <c r="T316" s="43"/>
    </row>
    <row r="317" spans="2:121" x14ac:dyDescent="0.25">
      <c r="K317" s="43"/>
      <c r="R317" s="43"/>
      <c r="S317" s="43"/>
      <c r="T317" s="43"/>
    </row>
    <row r="318" spans="2:121" x14ac:dyDescent="0.25">
      <c r="K318" s="43"/>
      <c r="R318" s="43"/>
      <c r="S318" s="43"/>
      <c r="T318" s="43"/>
    </row>
    <row r="319" spans="2:121" x14ac:dyDescent="0.25">
      <c r="K319" s="43"/>
      <c r="R319" s="43"/>
      <c r="S319" s="43"/>
      <c r="T319" s="43"/>
    </row>
    <row r="320" spans="2:121" x14ac:dyDescent="0.25">
      <c r="K320" s="43"/>
      <c r="R320" s="43"/>
      <c r="S320" s="43"/>
      <c r="T320" s="43"/>
    </row>
    <row r="321" spans="11:20" x14ac:dyDescent="0.25">
      <c r="K321" s="43"/>
      <c r="R321" s="43"/>
      <c r="S321" s="43"/>
      <c r="T321" s="43"/>
    </row>
    <row r="322" spans="11:20" x14ac:dyDescent="0.25">
      <c r="K322" s="43"/>
      <c r="R322" s="43"/>
      <c r="S322" s="43"/>
      <c r="T322" s="43"/>
    </row>
    <row r="323" spans="11:20" x14ac:dyDescent="0.25">
      <c r="K323" s="43"/>
      <c r="R323" s="43"/>
      <c r="S323" s="43"/>
      <c r="T323" s="43"/>
    </row>
    <row r="324" spans="11:20" x14ac:dyDescent="0.25">
      <c r="K324" s="43"/>
      <c r="R324" s="43"/>
      <c r="S324" s="43"/>
      <c r="T324" s="43"/>
    </row>
    <row r="325" spans="11:20" x14ac:dyDescent="0.25">
      <c r="K325" s="43"/>
      <c r="R325" s="43"/>
      <c r="S325" s="43"/>
      <c r="T325" s="43"/>
    </row>
    <row r="326" spans="11:20" x14ac:dyDescent="0.25">
      <c r="K326" s="43"/>
      <c r="R326" s="43"/>
      <c r="S326" s="43"/>
      <c r="T326" s="43"/>
    </row>
    <row r="327" spans="11:20" x14ac:dyDescent="0.25">
      <c r="K327" s="43"/>
      <c r="R327" s="43"/>
      <c r="S327" s="43"/>
      <c r="T327" s="43"/>
    </row>
    <row r="328" spans="11:20" x14ac:dyDescent="0.25">
      <c r="K328" s="43"/>
      <c r="R328" s="43"/>
      <c r="S328" s="43"/>
      <c r="T328" s="43"/>
    </row>
    <row r="329" spans="11:20" x14ac:dyDescent="0.25">
      <c r="K329" s="43"/>
      <c r="R329" s="43"/>
      <c r="S329" s="43"/>
      <c r="T329" s="43"/>
    </row>
    <row r="330" spans="11:20" x14ac:dyDescent="0.25">
      <c r="K330" s="43"/>
      <c r="R330" s="43"/>
      <c r="S330" s="43"/>
      <c r="T330" s="43"/>
    </row>
    <row r="331" spans="11:20" x14ac:dyDescent="0.25">
      <c r="K331" s="43"/>
      <c r="R331" s="43"/>
      <c r="S331" s="43"/>
      <c r="T331" s="43"/>
    </row>
    <row r="332" spans="11:20" x14ac:dyDescent="0.25">
      <c r="K332" s="43"/>
      <c r="R332" s="43"/>
      <c r="S332" s="43"/>
      <c r="T332" s="43"/>
    </row>
    <row r="333" spans="11:20" x14ac:dyDescent="0.25">
      <c r="K333" s="43"/>
      <c r="R333" s="43"/>
      <c r="S333" s="43"/>
      <c r="T333" s="43"/>
    </row>
    <row r="334" spans="11:20" x14ac:dyDescent="0.25">
      <c r="K334" s="43"/>
      <c r="R334" s="43"/>
      <c r="S334" s="43"/>
      <c r="T334" s="43"/>
    </row>
    <row r="335" spans="11:20" x14ac:dyDescent="0.25">
      <c r="K335" s="43"/>
      <c r="R335" s="43"/>
      <c r="S335" s="43"/>
      <c r="T335" s="43"/>
    </row>
    <row r="336" spans="11:20" x14ac:dyDescent="0.25">
      <c r="K336" s="43"/>
      <c r="R336" s="43"/>
      <c r="S336" s="43"/>
      <c r="T336" s="43"/>
    </row>
    <row r="337" spans="2:20" x14ac:dyDescent="0.25">
      <c r="K337" s="43"/>
      <c r="R337" s="43"/>
      <c r="S337" s="43"/>
      <c r="T337" s="43"/>
    </row>
    <row r="338" spans="2:20" x14ac:dyDescent="0.25">
      <c r="K338" s="43"/>
      <c r="R338" s="43"/>
      <c r="S338" s="43"/>
      <c r="T338" s="43"/>
    </row>
    <row r="339" spans="2:20" x14ac:dyDescent="0.25">
      <c r="K339" s="43"/>
      <c r="R339" s="43"/>
      <c r="S339" s="43"/>
      <c r="T339" s="43"/>
    </row>
    <row r="340" spans="2:20" x14ac:dyDescent="0.25">
      <c r="K340" s="43"/>
      <c r="R340" s="43"/>
      <c r="S340" s="43"/>
      <c r="T340" s="43"/>
    </row>
    <row r="341" spans="2:20" x14ac:dyDescent="0.25">
      <c r="K341" s="43"/>
      <c r="R341" s="43"/>
      <c r="S341" s="43"/>
      <c r="T341" s="43"/>
    </row>
    <row r="342" spans="2:20" x14ac:dyDescent="0.25">
      <c r="K342" s="43"/>
      <c r="R342" s="43"/>
      <c r="S342" s="43"/>
      <c r="T342" s="43"/>
    </row>
    <row r="343" spans="2:20" x14ac:dyDescent="0.25">
      <c r="K343" s="43"/>
      <c r="R343" s="43"/>
      <c r="S343" s="43"/>
      <c r="T343" s="43"/>
    </row>
    <row r="344" spans="2:20" x14ac:dyDescent="0.25">
      <c r="K344" s="43"/>
      <c r="R344" s="43"/>
      <c r="S344" s="43"/>
      <c r="T344" s="43"/>
    </row>
    <row r="345" spans="2:20" x14ac:dyDescent="0.25">
      <c r="K345" s="43"/>
      <c r="R345" s="43"/>
      <c r="S345" s="43"/>
      <c r="T345" s="43"/>
    </row>
    <row r="346" spans="2:20" x14ac:dyDescent="0.25">
      <c r="K346" s="43"/>
      <c r="R346" s="43"/>
      <c r="S346" s="43"/>
      <c r="T346" s="43"/>
    </row>
    <row r="347" spans="2:20" x14ac:dyDescent="0.25">
      <c r="K347" s="43"/>
      <c r="R347" s="43"/>
      <c r="S347" s="43"/>
      <c r="T347" s="43"/>
    </row>
    <row r="348" spans="2:20" x14ac:dyDescent="0.25">
      <c r="K348" s="43"/>
      <c r="R348" s="43"/>
      <c r="S348" s="43"/>
      <c r="T348" s="43"/>
    </row>
    <row r="349" spans="2:20" x14ac:dyDescent="0.25">
      <c r="K349" s="43"/>
      <c r="R349" s="43"/>
      <c r="S349" s="43"/>
      <c r="T349" s="43"/>
    </row>
    <row r="350" spans="2:20" x14ac:dyDescent="0.25">
      <c r="K350" s="43"/>
      <c r="R350" s="43"/>
      <c r="S350" s="43"/>
      <c r="T350" s="43"/>
    </row>
    <row r="351" spans="2:20" x14ac:dyDescent="0.25">
      <c r="B351" s="50"/>
      <c r="C351" s="60"/>
      <c r="D351" s="42"/>
      <c r="H351" s="43"/>
      <c r="I351" s="43"/>
      <c r="J351" s="43"/>
      <c r="K351" s="43"/>
      <c r="R351" s="43"/>
      <c r="S351" s="43"/>
      <c r="T351" s="43"/>
    </row>
    <row r="352" spans="2:20" x14ac:dyDescent="0.25">
      <c r="B352" s="50"/>
      <c r="C352" s="60"/>
      <c r="D352" s="42"/>
      <c r="H352" s="43"/>
      <c r="I352" s="43"/>
      <c r="J352" s="43"/>
      <c r="K352" s="43"/>
      <c r="R352" s="43"/>
      <c r="S352" s="43"/>
      <c r="T352" s="43"/>
    </row>
    <row r="353" spans="2:20" x14ac:dyDescent="0.25">
      <c r="B353" s="50"/>
      <c r="C353" s="60"/>
      <c r="D353" s="42"/>
      <c r="H353" s="43"/>
      <c r="I353" s="43"/>
      <c r="J353" s="43"/>
      <c r="K353" s="43"/>
      <c r="R353" s="43"/>
      <c r="S353" s="43"/>
      <c r="T353" s="43"/>
    </row>
    <row r="354" spans="2:20" x14ac:dyDescent="0.25">
      <c r="B354" s="50"/>
      <c r="C354" s="60"/>
      <c r="D354" s="42"/>
      <c r="H354" s="43"/>
      <c r="I354" s="43"/>
      <c r="J354" s="43"/>
      <c r="K354" s="43"/>
      <c r="R354" s="43"/>
      <c r="S354" s="43"/>
      <c r="T354" s="43"/>
    </row>
    <row r="355" spans="2:20" x14ac:dyDescent="0.25">
      <c r="B355" s="50"/>
      <c r="C355" s="60"/>
      <c r="D355" s="42"/>
      <c r="H355" s="43"/>
      <c r="I355" s="43"/>
      <c r="J355" s="43"/>
      <c r="K355" s="43"/>
      <c r="R355" s="43"/>
      <c r="S355" s="43"/>
      <c r="T355" s="43"/>
    </row>
    <row r="356" spans="2:20" x14ac:dyDescent="0.25">
      <c r="K356" s="43"/>
      <c r="R356" s="43"/>
      <c r="S356" s="43"/>
      <c r="T356" s="43"/>
    </row>
    <row r="357" spans="2:20" x14ac:dyDescent="0.25">
      <c r="K357" s="43"/>
      <c r="R357" s="43"/>
      <c r="S357" s="43"/>
      <c r="T357" s="43"/>
    </row>
    <row r="358" spans="2:20" x14ac:dyDescent="0.25">
      <c r="K358" s="43"/>
      <c r="R358" s="43"/>
      <c r="S358" s="43"/>
      <c r="T358" s="43"/>
    </row>
    <row r="359" spans="2:20" x14ac:dyDescent="0.25">
      <c r="K359" s="43"/>
      <c r="R359" s="43"/>
      <c r="S359" s="43"/>
      <c r="T359" s="43"/>
    </row>
    <row r="360" spans="2:20" x14ac:dyDescent="0.25">
      <c r="K360" s="43"/>
      <c r="R360" s="43"/>
      <c r="S360" s="43"/>
      <c r="T360" s="43"/>
    </row>
    <row r="361" spans="2:20" x14ac:dyDescent="0.25">
      <c r="K361" s="43"/>
      <c r="R361" s="43"/>
      <c r="S361" s="43"/>
      <c r="T361" s="43"/>
    </row>
    <row r="362" spans="2:20" x14ac:dyDescent="0.25">
      <c r="K362" s="43"/>
      <c r="R362" s="43"/>
      <c r="S362" s="43"/>
      <c r="T362" s="43"/>
    </row>
    <row r="363" spans="2:20" x14ac:dyDescent="0.25">
      <c r="K363" s="43"/>
      <c r="R363" s="43"/>
      <c r="S363" s="43"/>
      <c r="T363" s="43"/>
    </row>
    <row r="364" spans="2:20" x14ac:dyDescent="0.25">
      <c r="K364" s="43"/>
      <c r="R364" s="43"/>
      <c r="S364" s="43"/>
      <c r="T364" s="43"/>
    </row>
    <row r="365" spans="2:20" x14ac:dyDescent="0.25">
      <c r="K365" s="43"/>
      <c r="R365" s="43"/>
      <c r="S365" s="43"/>
      <c r="T365" s="43"/>
    </row>
    <row r="366" spans="2:20" x14ac:dyDescent="0.25">
      <c r="K366" s="43"/>
      <c r="R366" s="43"/>
      <c r="S366" s="43"/>
      <c r="T366" s="43"/>
    </row>
    <row r="367" spans="2:20" x14ac:dyDescent="0.25">
      <c r="K367" s="43"/>
      <c r="R367" s="43"/>
      <c r="S367" s="43"/>
      <c r="T367" s="43"/>
    </row>
    <row r="368" spans="2:20" x14ac:dyDescent="0.25">
      <c r="K368" s="43"/>
      <c r="R368" s="43"/>
      <c r="S368" s="43"/>
      <c r="T368" s="43"/>
    </row>
    <row r="369" spans="2:20" x14ac:dyDescent="0.25">
      <c r="K369" s="43"/>
      <c r="R369" s="43"/>
      <c r="S369" s="43"/>
      <c r="T369" s="43"/>
    </row>
    <row r="370" spans="2:20" x14ac:dyDescent="0.25">
      <c r="K370" s="43"/>
      <c r="R370" s="43"/>
      <c r="S370" s="43"/>
      <c r="T370" s="43"/>
    </row>
    <row r="371" spans="2:20" x14ac:dyDescent="0.25">
      <c r="K371" s="43"/>
      <c r="R371" s="43"/>
      <c r="S371" s="43"/>
      <c r="T371" s="43"/>
    </row>
    <row r="372" spans="2:20" x14ac:dyDescent="0.25">
      <c r="K372" s="43"/>
      <c r="R372" s="43"/>
      <c r="S372" s="43"/>
      <c r="T372" s="43"/>
    </row>
    <row r="373" spans="2:20" x14ac:dyDescent="0.25">
      <c r="K373" s="43"/>
      <c r="R373" s="43"/>
      <c r="S373" s="43"/>
      <c r="T373" s="43"/>
    </row>
    <row r="374" spans="2:20" x14ac:dyDescent="0.25">
      <c r="K374" s="43"/>
      <c r="R374" s="43"/>
      <c r="S374" s="43"/>
      <c r="T374" s="43"/>
    </row>
    <row r="375" spans="2:20" x14ac:dyDescent="0.25">
      <c r="K375" s="43"/>
      <c r="R375" s="43"/>
      <c r="S375" s="43"/>
      <c r="T375" s="43"/>
    </row>
    <row r="376" spans="2:20" x14ac:dyDescent="0.25">
      <c r="K376" s="43"/>
      <c r="R376" s="43"/>
      <c r="S376" s="43"/>
      <c r="T376" s="43"/>
    </row>
    <row r="377" spans="2:20" x14ac:dyDescent="0.25">
      <c r="K377" s="43"/>
      <c r="R377" s="43"/>
      <c r="S377" s="43"/>
      <c r="T377" s="43"/>
    </row>
    <row r="378" spans="2:20" x14ac:dyDescent="0.25">
      <c r="K378" s="43"/>
      <c r="R378" s="43"/>
      <c r="S378" s="43"/>
      <c r="T378" s="43"/>
    </row>
    <row r="379" spans="2:20" x14ac:dyDescent="0.25">
      <c r="B379" s="50"/>
      <c r="C379" s="43"/>
      <c r="D379" s="42"/>
      <c r="H379" s="43"/>
      <c r="I379" s="43"/>
      <c r="J379" s="43"/>
      <c r="K379" s="43"/>
      <c r="R379" s="43"/>
      <c r="S379" s="43"/>
      <c r="T379" s="43"/>
    </row>
    <row r="380" spans="2:20" x14ac:dyDescent="0.25">
      <c r="B380" s="50"/>
      <c r="C380" s="43"/>
      <c r="D380" s="42"/>
      <c r="H380" s="43"/>
      <c r="I380" s="43"/>
      <c r="J380" s="43"/>
      <c r="K380" s="43"/>
      <c r="R380" s="43"/>
      <c r="S380" s="43"/>
      <c r="T380" s="43"/>
    </row>
    <row r="381" spans="2:20" x14ac:dyDescent="0.25">
      <c r="B381" s="50"/>
      <c r="C381" s="43"/>
      <c r="D381" s="42"/>
      <c r="H381" s="43"/>
      <c r="I381" s="43"/>
      <c r="J381" s="43"/>
      <c r="K381" s="43"/>
      <c r="R381" s="43"/>
      <c r="S381" s="43"/>
      <c r="T381" s="43"/>
    </row>
    <row r="382" spans="2:20" x14ac:dyDescent="0.25">
      <c r="B382" s="50"/>
      <c r="C382" s="43"/>
      <c r="D382" s="42"/>
      <c r="H382" s="43"/>
      <c r="I382" s="43"/>
      <c r="J382" s="43"/>
      <c r="K382" s="43"/>
      <c r="R382" s="43"/>
      <c r="S382" s="43"/>
      <c r="T382" s="43"/>
    </row>
    <row r="383" spans="2:20" x14ac:dyDescent="0.25">
      <c r="B383" s="50"/>
      <c r="C383" s="43"/>
      <c r="D383" s="42"/>
      <c r="H383" s="43"/>
      <c r="I383" s="43"/>
      <c r="J383" s="43"/>
      <c r="K383" s="43"/>
      <c r="R383" s="43"/>
      <c r="S383" s="43"/>
      <c r="T383" s="43"/>
    </row>
    <row r="384" spans="2:20" x14ac:dyDescent="0.25">
      <c r="B384" s="50"/>
      <c r="C384" s="43"/>
      <c r="D384" s="42"/>
      <c r="H384" s="43"/>
      <c r="I384" s="43"/>
      <c r="J384" s="43"/>
      <c r="K384" s="43"/>
      <c r="R384" s="43"/>
      <c r="S384" s="43"/>
      <c r="T384" s="43"/>
    </row>
    <row r="385" spans="2:20" x14ac:dyDescent="0.25">
      <c r="B385" s="50"/>
      <c r="C385" s="43"/>
      <c r="D385" s="42"/>
      <c r="H385" s="43"/>
      <c r="I385" s="43"/>
      <c r="J385" s="43"/>
      <c r="K385" s="43"/>
      <c r="R385" s="43"/>
      <c r="S385" s="43"/>
      <c r="T385" s="43"/>
    </row>
    <row r="386" spans="2:20" x14ac:dyDescent="0.25">
      <c r="B386" s="50"/>
      <c r="C386" s="43"/>
      <c r="D386" s="42"/>
      <c r="H386" s="43"/>
      <c r="I386" s="43"/>
      <c r="J386" s="43"/>
      <c r="K386" s="43"/>
      <c r="R386" s="43"/>
      <c r="S386" s="43"/>
      <c r="T386" s="43"/>
    </row>
    <row r="387" spans="2:20" x14ac:dyDescent="0.25">
      <c r="B387" s="50"/>
      <c r="C387" s="43"/>
      <c r="D387" s="42"/>
      <c r="H387" s="43"/>
      <c r="I387" s="43"/>
      <c r="J387" s="43"/>
      <c r="K387" s="43"/>
      <c r="R387" s="43"/>
      <c r="S387" s="43"/>
      <c r="T387" s="43"/>
    </row>
    <row r="388" spans="2:20" x14ac:dyDescent="0.25">
      <c r="B388" s="50"/>
      <c r="C388" s="43"/>
      <c r="D388" s="42"/>
      <c r="H388" s="43"/>
      <c r="I388" s="43"/>
      <c r="J388" s="43"/>
      <c r="K388" s="43"/>
      <c r="R388" s="43"/>
      <c r="S388" s="43"/>
      <c r="T388" s="43"/>
    </row>
    <row r="389" spans="2:20" x14ac:dyDescent="0.25">
      <c r="B389" s="50"/>
      <c r="C389" s="43"/>
      <c r="D389" s="42"/>
      <c r="H389" s="43"/>
      <c r="I389" s="43"/>
      <c r="J389" s="43"/>
      <c r="K389" s="43"/>
      <c r="R389" s="43"/>
      <c r="S389" s="43"/>
      <c r="T389" s="43"/>
    </row>
    <row r="390" spans="2:20" x14ac:dyDescent="0.25">
      <c r="B390" s="50"/>
      <c r="C390" s="43"/>
      <c r="D390" s="42"/>
      <c r="H390" s="43"/>
      <c r="I390" s="43"/>
      <c r="J390" s="43"/>
      <c r="K390" s="43"/>
      <c r="R390" s="43"/>
      <c r="S390" s="43"/>
      <c r="T390" s="43"/>
    </row>
    <row r="391" spans="2:20" x14ac:dyDescent="0.25">
      <c r="B391" s="50"/>
      <c r="C391" s="43"/>
      <c r="D391" s="42"/>
      <c r="H391" s="43"/>
      <c r="I391" s="43"/>
      <c r="J391" s="43"/>
      <c r="K391" s="43"/>
      <c r="R391" s="43"/>
      <c r="S391" s="43"/>
      <c r="T391" s="43"/>
    </row>
    <row r="392" spans="2:20" x14ac:dyDescent="0.25">
      <c r="B392" s="50"/>
      <c r="C392" s="43"/>
      <c r="D392" s="42"/>
      <c r="H392" s="43"/>
      <c r="I392" s="43"/>
      <c r="J392" s="43"/>
      <c r="K392" s="43"/>
      <c r="R392" s="43"/>
      <c r="S392" s="43"/>
      <c r="T392" s="43"/>
    </row>
    <row r="393" spans="2:20" x14ac:dyDescent="0.25">
      <c r="B393" s="50"/>
      <c r="C393" s="43"/>
      <c r="D393" s="42"/>
      <c r="H393" s="43"/>
      <c r="I393" s="43"/>
      <c r="J393" s="43"/>
      <c r="K393" s="43"/>
      <c r="R393" s="43"/>
      <c r="S393" s="43"/>
      <c r="T393" s="43"/>
    </row>
    <row r="394" spans="2:20" x14ac:dyDescent="0.25">
      <c r="B394" s="50"/>
      <c r="C394" s="43"/>
      <c r="D394" s="42"/>
      <c r="H394" s="43"/>
      <c r="I394" s="43"/>
      <c r="J394" s="43"/>
      <c r="K394" s="43"/>
      <c r="R394" s="43"/>
      <c r="S394" s="43"/>
      <c r="T394" s="43"/>
    </row>
    <row r="395" spans="2:20" x14ac:dyDescent="0.25">
      <c r="B395" s="50"/>
      <c r="C395" s="43"/>
      <c r="D395" s="42"/>
      <c r="H395" s="43"/>
      <c r="I395" s="43"/>
      <c r="J395" s="43"/>
      <c r="K395" s="43"/>
      <c r="R395" s="43"/>
      <c r="S395" s="43"/>
      <c r="T395" s="43"/>
    </row>
    <row r="396" spans="2:20" x14ac:dyDescent="0.25">
      <c r="B396" s="50"/>
      <c r="C396" s="43"/>
      <c r="D396" s="42"/>
      <c r="H396" s="43"/>
      <c r="I396" s="43"/>
      <c r="J396" s="43"/>
      <c r="K396" s="43"/>
      <c r="R396" s="43"/>
      <c r="S396" s="43"/>
      <c r="T396" s="43"/>
    </row>
    <row r="397" spans="2:20" x14ac:dyDescent="0.25">
      <c r="B397" s="50"/>
      <c r="C397" s="43"/>
      <c r="D397" s="42"/>
      <c r="H397" s="43"/>
      <c r="I397" s="43"/>
      <c r="J397" s="43"/>
      <c r="K397" s="43"/>
      <c r="R397" s="43"/>
      <c r="S397" s="43"/>
      <c r="T397" s="43"/>
    </row>
    <row r="398" spans="2:20" x14ac:dyDescent="0.25">
      <c r="B398" s="50"/>
      <c r="C398" s="43"/>
      <c r="D398" s="42"/>
      <c r="H398" s="43"/>
      <c r="I398" s="43"/>
      <c r="J398" s="43"/>
      <c r="K398" s="43"/>
      <c r="R398" s="43"/>
      <c r="S398" s="43"/>
      <c r="T398" s="43"/>
    </row>
    <row r="399" spans="2:20" x14ac:dyDescent="0.25">
      <c r="B399" s="50"/>
      <c r="C399" s="43"/>
      <c r="D399" s="42"/>
      <c r="H399" s="43"/>
      <c r="I399" s="43"/>
      <c r="J399" s="43"/>
      <c r="K399" s="43"/>
      <c r="R399" s="43"/>
      <c r="S399" s="43"/>
      <c r="T399" s="43"/>
    </row>
    <row r="400" spans="2:20" x14ac:dyDescent="0.25">
      <c r="B400" s="43"/>
      <c r="C400" s="43"/>
      <c r="D400" s="42"/>
      <c r="H400" s="43"/>
      <c r="I400" s="43"/>
      <c r="J400" s="43"/>
      <c r="K400" s="43"/>
      <c r="R400" s="43"/>
      <c r="S400" s="43"/>
      <c r="T400" s="43"/>
    </row>
    <row r="401" spans="2:20" x14ac:dyDescent="0.25">
      <c r="B401" s="50"/>
      <c r="C401" s="43"/>
      <c r="D401" s="42"/>
      <c r="H401" s="43"/>
      <c r="I401" s="43"/>
      <c r="J401" s="43"/>
      <c r="K401" s="43"/>
      <c r="R401" s="43"/>
      <c r="S401" s="43"/>
      <c r="T401" s="43"/>
    </row>
    <row r="402" spans="2:20" x14ac:dyDescent="0.25">
      <c r="B402" s="50"/>
      <c r="C402" s="43"/>
      <c r="D402" s="42"/>
      <c r="H402" s="43"/>
      <c r="I402" s="43"/>
      <c r="J402" s="43"/>
      <c r="K402" s="43"/>
      <c r="R402" s="43"/>
      <c r="S402" s="43"/>
      <c r="T402" s="43"/>
    </row>
    <row r="403" spans="2:20" x14ac:dyDescent="0.25">
      <c r="B403" s="50"/>
      <c r="C403" s="43"/>
      <c r="D403" s="42"/>
      <c r="H403" s="43"/>
      <c r="I403" s="43"/>
      <c r="J403" s="43"/>
      <c r="K403" s="43"/>
      <c r="R403" s="43"/>
      <c r="S403" s="43"/>
      <c r="T403" s="43"/>
    </row>
    <row r="404" spans="2:20" x14ac:dyDescent="0.25">
      <c r="B404" s="50"/>
      <c r="C404" s="43"/>
      <c r="D404" s="42"/>
      <c r="H404" s="43"/>
      <c r="I404" s="43"/>
      <c r="J404" s="43"/>
      <c r="K404" s="43"/>
      <c r="R404" s="43"/>
      <c r="S404" s="43"/>
      <c r="T404" s="43"/>
    </row>
    <row r="405" spans="2:20" x14ac:dyDescent="0.25">
      <c r="B405" s="50"/>
      <c r="C405" s="43"/>
      <c r="D405" s="42"/>
      <c r="H405" s="43"/>
      <c r="I405" s="43"/>
      <c r="J405" s="43"/>
      <c r="K405" s="43"/>
      <c r="R405" s="43"/>
      <c r="S405" s="43"/>
      <c r="T405" s="43"/>
    </row>
    <row r="406" spans="2:20" x14ac:dyDescent="0.25">
      <c r="B406" s="50"/>
      <c r="C406" s="43"/>
      <c r="D406" s="42"/>
      <c r="H406" s="43"/>
      <c r="I406" s="43"/>
      <c r="J406" s="43"/>
      <c r="K406" s="43"/>
      <c r="R406" s="43"/>
      <c r="S406" s="43"/>
      <c r="T406" s="43"/>
    </row>
    <row r="407" spans="2:20" x14ac:dyDescent="0.25">
      <c r="B407" s="50"/>
      <c r="C407" s="43"/>
      <c r="D407" s="42"/>
      <c r="H407" s="43"/>
      <c r="I407" s="43"/>
      <c r="J407" s="43"/>
      <c r="K407" s="43"/>
      <c r="R407" s="43"/>
      <c r="S407" s="43"/>
      <c r="T407" s="43"/>
    </row>
    <row r="408" spans="2:20" x14ac:dyDescent="0.25">
      <c r="B408" s="50"/>
      <c r="C408" s="43"/>
      <c r="D408" s="42"/>
      <c r="H408" s="43"/>
      <c r="I408" s="43"/>
      <c r="J408" s="43"/>
      <c r="K408" s="43"/>
      <c r="R408" s="43"/>
      <c r="S408" s="43"/>
      <c r="T408" s="43"/>
    </row>
    <row r="409" spans="2:20" x14ac:dyDescent="0.25">
      <c r="B409" s="50"/>
      <c r="C409" s="43"/>
      <c r="D409" s="42"/>
      <c r="H409" s="43"/>
      <c r="I409" s="43"/>
      <c r="J409" s="43"/>
      <c r="K409" s="43"/>
      <c r="R409" s="43"/>
      <c r="S409" s="43"/>
      <c r="T409" s="43"/>
    </row>
    <row r="410" spans="2:20" x14ac:dyDescent="0.25">
      <c r="B410" s="50"/>
      <c r="C410" s="43"/>
      <c r="D410" s="42"/>
      <c r="H410" s="43"/>
      <c r="I410" s="43"/>
      <c r="J410" s="43"/>
      <c r="K410" s="43"/>
      <c r="R410" s="43"/>
      <c r="S410" s="43"/>
      <c r="T410" s="43"/>
    </row>
    <row r="411" spans="2:20" x14ac:dyDescent="0.25">
      <c r="B411" s="50"/>
      <c r="C411" s="43"/>
      <c r="D411" s="42"/>
      <c r="H411" s="43"/>
      <c r="I411" s="43"/>
      <c r="J411" s="43"/>
      <c r="K411" s="43"/>
      <c r="R411" s="43"/>
      <c r="S411" s="43"/>
      <c r="T411" s="43"/>
    </row>
    <row r="412" spans="2:20" x14ac:dyDescent="0.25">
      <c r="B412" s="50"/>
      <c r="C412" s="43"/>
      <c r="D412" s="42"/>
      <c r="H412" s="43"/>
      <c r="I412" s="43"/>
      <c r="J412" s="43"/>
      <c r="K412" s="43"/>
      <c r="R412" s="43"/>
      <c r="S412" s="43"/>
      <c r="T412" s="43"/>
    </row>
    <row r="413" spans="2:20" x14ac:dyDescent="0.25">
      <c r="B413" s="50"/>
      <c r="C413" s="43"/>
      <c r="D413" s="42"/>
      <c r="H413" s="43"/>
      <c r="I413" s="43"/>
      <c r="J413" s="43"/>
      <c r="K413" s="43"/>
      <c r="R413" s="43"/>
      <c r="S413" s="43"/>
      <c r="T413" s="43"/>
    </row>
    <row r="414" spans="2:20" x14ac:dyDescent="0.25">
      <c r="B414" s="50"/>
      <c r="C414" s="43"/>
      <c r="D414" s="42"/>
      <c r="H414" s="43"/>
      <c r="I414" s="43"/>
      <c r="J414" s="43"/>
      <c r="K414" s="43"/>
      <c r="R414" s="43"/>
      <c r="S414" s="43"/>
      <c r="T414" s="43"/>
    </row>
    <row r="415" spans="2:20" x14ac:dyDescent="0.25">
      <c r="B415" s="50"/>
      <c r="C415" s="43"/>
      <c r="D415" s="42"/>
      <c r="H415" s="43"/>
      <c r="I415" s="43"/>
      <c r="J415" s="43"/>
      <c r="K415" s="43"/>
      <c r="R415" s="43"/>
      <c r="S415" s="43"/>
      <c r="T415" s="43"/>
    </row>
    <row r="416" spans="2:20" x14ac:dyDescent="0.25">
      <c r="B416" s="50"/>
      <c r="C416" s="43"/>
      <c r="D416" s="42"/>
      <c r="H416" s="43"/>
      <c r="I416" s="43"/>
      <c r="J416" s="43"/>
      <c r="K416" s="43"/>
      <c r="R416" s="43"/>
      <c r="S416" s="43"/>
      <c r="T416" s="43"/>
    </row>
    <row r="417" spans="2:20" x14ac:dyDescent="0.25">
      <c r="B417" s="50"/>
      <c r="C417" s="43"/>
      <c r="D417" s="42"/>
      <c r="H417" s="43"/>
      <c r="I417" s="43"/>
      <c r="J417" s="43"/>
      <c r="K417" s="43"/>
      <c r="R417" s="43"/>
      <c r="S417" s="43"/>
      <c r="T417" s="43"/>
    </row>
    <row r="418" spans="2:20" x14ac:dyDescent="0.25">
      <c r="B418" s="50"/>
      <c r="C418" s="43"/>
      <c r="D418" s="42"/>
      <c r="H418" s="43"/>
      <c r="I418" s="43"/>
      <c r="J418" s="43"/>
      <c r="K418" s="43"/>
      <c r="R418" s="43"/>
      <c r="S418" s="43"/>
      <c r="T418" s="43"/>
    </row>
    <row r="419" spans="2:20" x14ac:dyDescent="0.25">
      <c r="B419" s="50"/>
      <c r="C419" s="43"/>
      <c r="D419" s="42"/>
      <c r="H419" s="43"/>
      <c r="I419" s="43"/>
      <c r="J419" s="43"/>
      <c r="K419" s="43"/>
      <c r="R419" s="43"/>
      <c r="S419" s="43"/>
      <c r="T419" s="43"/>
    </row>
    <row r="420" spans="2:20" x14ac:dyDescent="0.25">
      <c r="B420" s="50"/>
      <c r="C420" s="43"/>
      <c r="D420" s="42"/>
      <c r="H420" s="43"/>
      <c r="I420" s="43"/>
      <c r="J420" s="43"/>
      <c r="K420" s="43"/>
      <c r="R420" s="43"/>
      <c r="S420" s="43"/>
      <c r="T420" s="43"/>
    </row>
    <row r="421" spans="2:20" x14ac:dyDescent="0.25">
      <c r="B421" s="50"/>
      <c r="C421" s="43"/>
      <c r="D421" s="42"/>
      <c r="H421" s="43"/>
      <c r="I421" s="43"/>
      <c r="J421" s="43"/>
      <c r="K421" s="43"/>
      <c r="R421" s="43"/>
      <c r="S421" s="43"/>
      <c r="T421" s="43"/>
    </row>
    <row r="422" spans="2:20" x14ac:dyDescent="0.25">
      <c r="B422" s="50"/>
      <c r="C422" s="43"/>
      <c r="D422" s="42"/>
    </row>
    <row r="423" spans="2:20" x14ac:dyDescent="0.25">
      <c r="B423" s="50"/>
      <c r="C423" s="43"/>
      <c r="D423" s="42"/>
    </row>
    <row r="424" spans="2:20" x14ac:dyDescent="0.25">
      <c r="B424" s="50"/>
      <c r="C424" s="43"/>
      <c r="D424" s="42"/>
    </row>
    <row r="425" spans="2:20" x14ac:dyDescent="0.25">
      <c r="C425" s="42"/>
    </row>
    <row r="435" spans="38:38" x14ac:dyDescent="0.25">
      <c r="AL435" s="53"/>
    </row>
    <row r="436" spans="38:38" x14ac:dyDescent="0.25">
      <c r="AL436" s="53"/>
    </row>
    <row r="437" spans="38:38" x14ac:dyDescent="0.25">
      <c r="AL437" s="53"/>
    </row>
    <row r="438" spans="38:38" x14ac:dyDescent="0.25">
      <c r="AL438" s="53"/>
    </row>
    <row r="439" spans="38:38" x14ac:dyDescent="0.25">
      <c r="AL439" s="53"/>
    </row>
    <row r="440" spans="38:38" x14ac:dyDescent="0.25">
      <c r="AL440" s="53"/>
    </row>
    <row r="441" spans="38:38" x14ac:dyDescent="0.25">
      <c r="AL441" s="53"/>
    </row>
    <row r="442" spans="38:38" x14ac:dyDescent="0.25">
      <c r="AL442" s="53"/>
    </row>
    <row r="443" spans="38:38" x14ac:dyDescent="0.25">
      <c r="AL443" s="53"/>
    </row>
    <row r="444" spans="38:38" x14ac:dyDescent="0.25">
      <c r="AL444" s="53"/>
    </row>
    <row r="445" spans="38:38" x14ac:dyDescent="0.25">
      <c r="AL445" s="53"/>
    </row>
    <row r="446" spans="38:38" x14ac:dyDescent="0.25">
      <c r="AL446" s="53"/>
    </row>
    <row r="447" spans="38:38" x14ac:dyDescent="0.25">
      <c r="AL447" s="53"/>
    </row>
    <row r="448" spans="38:38" x14ac:dyDescent="0.25">
      <c r="AL448" s="53"/>
    </row>
    <row r="449" spans="38:38" x14ac:dyDescent="0.25">
      <c r="AL449" s="53"/>
    </row>
    <row r="450" spans="38:38" x14ac:dyDescent="0.25">
      <c r="AL450" s="5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2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95</vt:i4>
      </vt:variant>
    </vt:vector>
  </HeadingPairs>
  <TitlesOfParts>
    <vt:vector size="98" baseType="lpstr">
      <vt:lpstr>IBA</vt:lpstr>
      <vt:lpstr>IBA-prime</vt:lpstr>
      <vt:lpstr>Sheet1</vt:lpstr>
      <vt:lpstr>\a</vt:lpstr>
      <vt:lpstr>\e</vt:lpstr>
      <vt:lpstr>A</vt:lpstr>
      <vt:lpstr>B</vt:lpstr>
      <vt:lpstr>BSRECOILE</vt:lpstr>
      <vt:lpstr>C_</vt:lpstr>
      <vt:lpstr>CHECKA</vt:lpstr>
      <vt:lpstr>CHECKS</vt:lpstr>
      <vt:lpstr>CMSIGMA</vt:lpstr>
      <vt:lpstr>CMTHETA</vt:lpstr>
      <vt:lpstr>COMPOUND</vt:lpstr>
      <vt:lpstr>COSPHI</vt:lpstr>
      <vt:lpstr>COSPSI</vt:lpstr>
      <vt:lpstr>COSRECOIL</vt:lpstr>
      <vt:lpstr>COSRECOIL2</vt:lpstr>
      <vt:lpstr>COSTHETA</vt:lpstr>
      <vt:lpstr>COSZETA</vt:lpstr>
      <vt:lpstr>D</vt:lpstr>
      <vt:lpstr>DELTAM</vt:lpstr>
      <vt:lpstr>DELTAZ</vt:lpstr>
      <vt:lpstr>DSCANA</vt:lpstr>
      <vt:lpstr>DSCANE</vt:lpstr>
      <vt:lpstr>DSCANERD</vt:lpstr>
      <vt:lpstr>DSIGMA</vt:lpstr>
      <vt:lpstr>E_LEVEL_1</vt:lpstr>
      <vt:lpstr>E1CM</vt:lpstr>
      <vt:lpstr>EERD</vt:lpstr>
      <vt:lpstr>ENERGY1</vt:lpstr>
      <vt:lpstr>ENERGY3</vt:lpstr>
      <vt:lpstr>ENERGY4</vt:lpstr>
      <vt:lpstr>ENRA</vt:lpstr>
      <vt:lpstr>ERBS</vt:lpstr>
      <vt:lpstr>ERDE1</vt:lpstr>
      <vt:lpstr>ERDESCAT</vt:lpstr>
      <vt:lpstr>ERDESCATTER</vt:lpstr>
      <vt:lpstr>ERDK</vt:lpstr>
      <vt:lpstr>ERDMU</vt:lpstr>
      <vt:lpstr>ERDRECOILE</vt:lpstr>
      <vt:lpstr>ERECOIL</vt:lpstr>
      <vt:lpstr>ESCATTER</vt:lpstr>
      <vt:lpstr>ESQRD</vt:lpstr>
      <vt:lpstr>ETA</vt:lpstr>
      <vt:lpstr>ETOTAL</vt:lpstr>
      <vt:lpstr>EXLEVEL</vt:lpstr>
      <vt:lpstr>G_LEVEL_1</vt:lpstr>
      <vt:lpstr>GAMMA</vt:lpstr>
      <vt:lpstr>INCIDENT</vt:lpstr>
      <vt:lpstr>INCM</vt:lpstr>
      <vt:lpstr>INCZ</vt:lpstr>
      <vt:lpstr>K</vt:lpstr>
      <vt:lpstr>MD</vt:lpstr>
      <vt:lpstr>MI</vt:lpstr>
      <vt:lpstr>MR</vt:lpstr>
      <vt:lpstr>MT</vt:lpstr>
      <vt:lpstr>MTABLE</vt:lpstr>
      <vt:lpstr>MU</vt:lpstr>
      <vt:lpstr>PHI</vt:lpstr>
      <vt:lpstr>PHIRAD</vt:lpstr>
      <vt:lpstr>IBA!Print_Area</vt:lpstr>
      <vt:lpstr>Print_Area_MI</vt:lpstr>
      <vt:lpstr>PSI</vt:lpstr>
      <vt:lpstr>PSIRAD</vt:lpstr>
      <vt:lpstr>QVALUE</vt:lpstr>
      <vt:lpstr>RBSESCAT</vt:lpstr>
      <vt:lpstr>REACTIONINFO</vt:lpstr>
      <vt:lpstr>RECMASS</vt:lpstr>
      <vt:lpstr>RECOILANGLE</vt:lpstr>
      <vt:lpstr>RECZ</vt:lpstr>
      <vt:lpstr>RESIDUAL</vt:lpstr>
      <vt:lpstr>RXN</vt:lpstr>
      <vt:lpstr>SINPHI</vt:lpstr>
      <vt:lpstr>SINPHI2</vt:lpstr>
      <vt:lpstr>SINPSI</vt:lpstr>
      <vt:lpstr>SINPSI2</vt:lpstr>
      <vt:lpstr>SINRECOIL</vt:lpstr>
      <vt:lpstr>SINRECOIL2</vt:lpstr>
      <vt:lpstr>SINTHETA</vt:lpstr>
      <vt:lpstr>SINTHETA2</vt:lpstr>
      <vt:lpstr>SINZETA</vt:lpstr>
      <vt:lpstr>SINZETA2</vt:lpstr>
      <vt:lpstr>SUBM</vt:lpstr>
      <vt:lpstr>SUBZ</vt:lpstr>
      <vt:lpstr>TARGET</vt:lpstr>
      <vt:lpstr>THETA</vt:lpstr>
      <vt:lpstr>THETARAD</vt:lpstr>
      <vt:lpstr>UPSCANA</vt:lpstr>
      <vt:lpstr>UPSCANE</vt:lpstr>
      <vt:lpstr>UPSCANERD</vt:lpstr>
      <vt:lpstr>ZCOUNT</vt:lpstr>
      <vt:lpstr>ZD</vt:lpstr>
      <vt:lpstr>ZETA</vt:lpstr>
      <vt:lpstr>ZETARAD</vt:lpstr>
      <vt:lpstr>ZI</vt:lpstr>
      <vt:lpstr>ZR</vt:lpstr>
      <vt:lpstr>ZT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Barney L. Doyle</dc:creator>
  <cp:lastModifiedBy>Doyle</cp:lastModifiedBy>
  <cp:lastPrinted>1999-10-27T22:01:19Z</cp:lastPrinted>
  <dcterms:created xsi:type="dcterms:W3CDTF">2013-10-07T18:29:40Z</dcterms:created>
  <dcterms:modified xsi:type="dcterms:W3CDTF">2022-12-15T16:44:26Z</dcterms:modified>
</cp:coreProperties>
</file>